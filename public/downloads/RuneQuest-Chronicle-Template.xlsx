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9072d5695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編年史" sheetId="1" r:id="R70eb1af53be24a40"/>
    <x:sheet xmlns:r="http://schemas.openxmlformats.org/officeDocument/2006/relationships" name="時間線" sheetId="2" r:id="Ra6f5044a349e4944"/>
    <x:sheet xmlns:r="http://schemas.openxmlformats.org/officeDocument/2006/relationships" name="設定" sheetId="3" r:id="R3b3ffcdd5e3d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59656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B716E"/>
      </x:patternFill>
    </x:fill>
    <x:fill>
      <x:patternFill patternType="solid">
        <x:fgColor rgb="FFF5F0E5"/>
      </x:patternFill>
    </x:fill>
    <x:fill>
      <x:patternFill patternType="solid">
        <x:fgColor rgb="FF364742"/>
      </x:patternFill>
    </x:fill>
    <x:fill>
      <x:patternFill patternType="solid">
        <x:fgColor rgb="FFFFF4C9"/>
      </x:patternFill>
    </x:fill>
    <x:fill>
      <x:patternFill patternType="solid">
        <x:fgColor rgb="FFFFFDF7"/>
      </x:patternFill>
    </x:fill>
    <x:fill>
      <x:patternFill patternType="solid">
        <x:fgColor rgb="FFE3EEE9"/>
      </x:patternFill>
    </x:fill>
    <x:fill>
      <x:patternFill patternType="solid">
        <x:fgColor rgb="FFF2E9D6"/>
      </x:patternFill>
    </x:fill>
    <x:fill>
      <x:patternFill patternType="solid">
        <x:fgColor rgb="FF2B716E"/>
      </x:patternFill>
    </x:fill>
    <x:fill>
      <x:patternFill patternType="solid">
        <x:fgColor rgb="FFFFF1B8"/>
      </x:patternFill>
    </x:fill>
  </x:fills>
  <x:borders count="7">
    <x:border/>
    <x:border>
      <x:bottom style="thin">
        <x:color rgb="FFE2DED4"/>
      </x:bottom>
    </x:border>
    <x:border>
      <x:top style="thin">
        <x:color rgb="FFE2DED4"/>
      </x:top>
      <x:bottom style="thin">
        <x:color rgb="FFE2DED4"/>
      </x:bottom>
    </x:border>
    <x:border>
      <x:top style="thin">
        <x:color rgb="FFE2DED4"/>
      </x:top>
      <x:bottom style="thin">
        <x:color rgb="FFD5D0C5"/>
      </x:bottom>
    </x:border>
    <x:border>
      <x:bottom style="thin">
        <x:color rgb="FFD5D0C5"/>
      </x:bottom>
    </x:border>
    <x:border>
      <x:top style="thin">
        <x:color rgb="FFD5D0C5"/>
      </x:top>
      <x:bottom style="thin">
        <x:color rgb="FFD5D0C5"/>
      </x:bottom>
    </x:border>
    <x:border>
      <x:top style="thin">
        <x:color rgb="FFD5D0C5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0" fontId="0" fillId="5" borderId="2" xfId="0" applyNumberFormat="1" applyFont="1" applyFill="1" applyBorder="1" applyAlignment="1">
      <x:alignment vertical="top" wrapText="1"/>
    </x:xf>
    <x:xf numFmtId="200" fontId="0" fillId="5" borderId="3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center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10" borderId="1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200" fontId="0" fillId="10" borderId="2" xfId="0" applyNumberFormat="1" applyFont="1" applyFill="1" applyBorder="1" applyAlignment="1">
      <x:alignment vertical="top" wrapText="1"/>
    </x:xf>
    <x:xf numFmtId="0" fontId="0" fillId="10" borderId="2" xfId="0" applyNumberFormat="1" applyFont="1" applyFill="1" applyBorder="1" applyAlignment="1">
      <x:alignment vertical="top" wrapText="1"/>
    </x:xf>
    <x:xf numFmtId="200" fontId="0" fillId="10" borderId="3" xfId="0" applyNumberFormat="1" applyFont="1" applyFill="1" applyBorder="1" applyAlignment="1">
      <x:alignment vertical="top" wrapText="1"/>
    </x:xf>
    <x:xf numFmtId="0" fontId="0" fillId="1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A7242F"/>
      </x:font>
    </x:dxf>
    <x:dxf>
      <x:font>
        <x:b/>
        <x:color rgb="FFA7242F"/>
      </x:font>
      <x:fill>
        <x:patternFill>
          <x:bgColor rgb="FFFCE0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aff1796614c9d" /><Relationship Type="http://schemas.openxmlformats.org/officeDocument/2006/relationships/theme" Target="/xl/theme/theme1.xml" Id="Rf480deae703241f3" /><Relationship Type="http://schemas.openxmlformats.org/officeDocument/2006/relationships/sharedStrings" Target="/xl/sharedStrings.xml" Id="R799c113f254c4048" /><Relationship Type="http://schemas.openxmlformats.org/officeDocument/2006/relationships/worksheet" Target="/xl/worksheets/sheet1.xml" Id="R70eb1af53be24a40" /><Relationship Type="http://schemas.openxmlformats.org/officeDocument/2006/relationships/worksheet" Target="/xl/worksheets/sheet2.xml" Id="Ra6f5044a349e4944" /><Relationship Type="http://schemas.openxmlformats.org/officeDocument/2006/relationships/worksheet" Target="/xl/worksheets/sheet3.xml" Id="R3b3ffcdd5e3d4c46" /></Relationships>
</file>

<file path=xl/tables/table1.xml><?xml version="1.0" encoding="utf-8"?>
<x:table xmlns:x="http://schemas.openxmlformats.org/spreadsheetml/2006/main" id="1" name="ChronicleTable" displayName="ChronicleTable" ref="A4:R204" headerRowCount="1" totalsRowCount="0" totalsRowShown="0">
  <x:tableColumns count="18">
    <x:tableColumn id="1" name="編號"/>
    <x:tableColumn id="2" name="S.T. 年"/>
    <x:tableColumn id="3" name="季節"/>
    <x:tableColumn id="4" name="週別"/>
    <x:tableColumn id="5" name="日期"/>
    <x:tableColumn id="6" name="星期"/>
    <x:tableColumn id="7" name="完整曆法日期"/>
    <x:tableColumn id="8" name="事件標題"/>
    <x:tableColumn id="9" name="事件類型"/>
    <x:tableColumn id="10" name="地點"/>
    <x:tableColumn id="11" name="參與角色"/>
    <x:tableColumn id="12" name="事件摘要"/>
    <x:tableColumn id="13" name="詳細記錄"/>
    <x:tableColumn id="14" name="後果／變化"/>
    <x:tableColumn id="15" name="關聯劇本"/>
    <x:tableColumn id="16" name="狀態"/>
    <x:tableColumn id="17" name="標籤"/>
    <x:tableColumn id="18" name="排序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8020c8a8524b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8" hidden="0" customWidth="1"/>
    <x:col min="6" max="6" width="12" hidden="0" customWidth="1"/>
    <x:col min="7" max="7" width="28" hidden="0" customWidth="1"/>
    <x:col min="8" max="8" width="24" hidden="0" customWidth="1"/>
    <x:col min="9" max="9" width="14" hidden="0" customWidth="1"/>
    <x:col min="10" max="10" width="18" hidden="0" customWidth="1"/>
    <x:col min="11" max="11" width="24" hidden="0" customWidth="1"/>
    <x:col min="12" max="12" width="30" hidden="0" customWidth="1"/>
    <x:col min="13" max="13" width="38" hidden="0" customWidth="1"/>
    <x:col min="14" max="14" width="28" hidden="0" customWidth="1"/>
    <x:col min="15" max="15" width="20" hidden="0" customWidth="1"/>
    <x:col min="16" max="16" width="12" hidden="0" customWidth="1"/>
    <x:col min="17" max="17" width="20" hidden="0" customWidth="1"/>
    <x:col min="18" max="18" width="12" hidden="0" customWidth="1"/>
  </x:cols>
  <x:sheetData>
    <x:row r="1" ht="34" customHeight="1">
      <x:c r="A1" s="6" t="str">
        <x:v>RUNEQUEST 編年史 · CHRONICLE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28" customHeight="1">
      <x:c r="A2" s="9" t="str">
        <x:v>黃色欄位皆使用下拉選單；週別、星期、完整日期與排序值會自動計算。紅色文字可用於標記至高聖日或重大事件。</x:v>
      </x:c>
      <x:c r="B2" s="9" t="str">
        <x:v>黃色欄位皆使用下拉選單；週別、星期、完整日期與排序值會自動計算。紅色文字可用於標記至高聖日或重大事件。</x:v>
      </x:c>
      <x:c r="C2" s="9" t="str">
        <x:v>黃色欄位皆使用下拉選單；週別、星期、完整日期與排序值會自動計算。紅色文字可用於標記至高聖日或重大事件。</x:v>
      </x:c>
      <x:c r="D2" s="9" t="str">
        <x:v>黃色欄位皆使用下拉選單；週別、星期、完整日期與排序值會自動計算。紅色文字可用於標記至高聖日或重大事件。</x:v>
      </x:c>
      <x:c r="E2" s="9" t="str">
        <x:v>黃色欄位皆使用下拉選單；週別、星期、完整日期與排序值會自動計算。紅色文字可用於標記至高聖日或重大事件。</x:v>
      </x:c>
      <x:c r="F2" s="9" t="str">
        <x:v>黃色欄位皆使用下拉選單；週別、星期、完整日期與排序值會自動計算。紅色文字可用於標記至高聖日或重大事件。</x:v>
      </x:c>
      <x:c r="G2" s="9" t="str">
        <x:v>黃色欄位皆使用下拉選單；週別、星期、完整日期與排序值會自動計算。紅色文字可用於標記至高聖日或重大事件。</x:v>
      </x:c>
      <x:c r="H2" s="9" t="str">
        <x:v>黃色欄位皆使用下拉選單；週別、星期、完整日期與排序值會自動計算。紅色文字可用於標記至高聖日或重大事件。</x:v>
      </x:c>
      <x:c r="I2" s="9" t="str">
        <x:v>黃色欄位皆使用下拉選單；週別、星期、完整日期與排序值會自動計算。紅色文字可用於標記至高聖日或重大事件。</x:v>
      </x:c>
      <x:c r="J2" s="9" t="str">
        <x:v>黃色欄位皆使用下拉選單；週別、星期、完整日期與排序值會自動計算。紅色文字可用於標記至高聖日或重大事件。</x:v>
      </x:c>
      <x:c r="K2" s="9" t="str">
        <x:v>黃色欄位皆使用下拉選單；週別、星期、完整日期與排序值會自動計算。紅色文字可用於標記至高聖日或重大事件。</x:v>
      </x:c>
      <x:c r="L2" s="9" t="str">
        <x:v>黃色欄位皆使用下拉選單；週別、星期、完整日期與排序值會自動計算。紅色文字可用於標記至高聖日或重大事件。</x:v>
      </x:c>
      <x:c r="M2" s="9" t="str">
        <x:v>黃色欄位皆使用下拉選單；週別、星期、完整日期與排序值會自動計算。紅色文字可用於標記至高聖日或重大事件。</x:v>
      </x:c>
      <x:c r="N2" s="9" t="str">
        <x:v>黃色欄位皆使用下拉選單；週別、星期、完整日期與排序值會自動計算。紅色文字可用於標記至高聖日或重大事件。</x:v>
      </x:c>
      <x:c r="O2" s="9" t="str">
        <x:v>黃色欄位皆使用下拉選單；週別、星期、完整日期與排序值會自動計算。紅色文字可用於標記至高聖日或重大事件。</x:v>
      </x:c>
      <x:c r="P2" s="9" t="str">
        <x:v>黃色欄位皆使用下拉選單；週別、星期、完整日期與排序值會自動計算。紅色文字可用於標記至高聖日或重大事件。</x:v>
      </x:c>
      <x:c r="Q2" s="9" t="str">
        <x:v>黃色欄位皆使用下拉選單；週別、星期、完整日期與排序值會自動計算。紅色文字可用於標記至高聖日或重大事件。</x:v>
      </x:c>
      <x:c r="R2" s="9" t="str">
        <x:v>黃色欄位皆使用下拉選單；週別、星期、完整日期與排序值會自動計算。紅色文字可用於標記至高聖日或重大事件。</x:v>
      </x:c>
    </x:row>
    <x:row r="4" ht="32" customHeight="1">
      <x:c r="A4" s="14" t="str">
        <x:v>編號</x:v>
      </x:c>
      <x:c r="B4" s="14" t="str">
        <x:v>S.T. 年</x:v>
      </x:c>
      <x:c r="C4" s="14" t="str">
        <x:v>季節</x:v>
      </x:c>
      <x:c r="D4" s="14" t="str">
        <x:v>週別</x:v>
      </x:c>
      <x:c r="E4" s="14" t="str">
        <x:v>日期</x:v>
      </x:c>
      <x:c r="F4" s="14" t="str">
        <x:v>星期</x:v>
      </x:c>
      <x:c r="G4" s="14" t="str">
        <x:v>完整曆法日期</x:v>
      </x:c>
      <x:c r="H4" s="14" t="str">
        <x:v>事件標題</x:v>
      </x:c>
      <x:c r="I4" s="14" t="str">
        <x:v>事件類型</x:v>
      </x:c>
      <x:c r="J4" s="14" t="str">
        <x:v>地點</x:v>
      </x:c>
      <x:c r="K4" s="14" t="str">
        <x:v>參與角色</x:v>
      </x:c>
      <x:c r="L4" s="14" t="str">
        <x:v>事件摘要</x:v>
      </x:c>
      <x:c r="M4" s="14" t="str">
        <x:v>詳細記錄</x:v>
      </x:c>
      <x:c r="N4" s="14" t="str">
        <x:v>後果／變化</x:v>
      </x:c>
      <x:c r="O4" s="14" t="str">
        <x:v>關聯劇本</x:v>
      </x:c>
      <x:c r="P4" s="14" t="str">
        <x:v>狀態</x:v>
      </x:c>
      <x:c r="Q4" s="14" t="str">
        <x:v>標籤</x:v>
      </x:c>
      <x:c r="R4" s="14" t="str">
        <x:v>排序值</x:v>
      </x:c>
    </x:row>
    <x:row r="5" ht="38" customHeight="1">
      <x:c r="A5" s="32" t="n">
        <x:v>1</x:v>
      </x:c>
      <x:c r="B5" s="55" t="n">
        <x:v>1625</x:v>
      </x:c>
      <x:c r="C5" s="56" t="str">
        <x:v>海洋季</x:v>
      </x:c>
      <x:c r="D5" s="23" t="str">
        <x:f>IF(C5="","",IF(C5="聖季期",CHOOSE(ROUNDUP(E5/7,0),"幸運週","命運週"),CHOOSE(ROUNDUP(E5/7,0),"混亂週","和諧週","死亡週","豐饒週","停滯週","運動週","幻象週","真理週")))</x:f>
        <x:v>混亂週</x:v>
      </x:c>
      <x:c r="E5" s="55" t="n">
        <x:v>1</x:v>
      </x:c>
      <x:c r="F5" s="23" t="str">
        <x:f>IF(E5="","",CHOOSE(MOD(E5-1,7)+1,"寒霜日","流水日","泥土日","風暴日","火焰日","狂野日","眾神日"))</x:f>
        <x:v>寒霜日</x:v>
      </x:c>
      <x:c r="G5" s="23" t="str">
        <x:f>IF(OR(B5="",C5="",E5=""),"",B5&amp;" S.T. · "&amp;C5&amp;" · "&amp;D5&amp;" · "&amp;F5)</x:f>
        <x:v>1625 S.T. · 海洋季 · 混亂週 · 寒霜日</x:v>
      </x:c>
      <x:c r="H5" s="25" t="str">
        <x:v>返回故鄉</x:v>
      </x:c>
      <x:c r="I5" s="56" t="str">
        <x:v>旅行</x:v>
      </x:c>
      <x:c r="J5" s="25" t="str">
        <x:v>薩塔爾</x:v>
      </x:c>
      <x:c r="K5" s="25" t="str">
        <x:v>冒險者一行</x:v>
      </x:c>
      <x:c r="L5" s="25" t="str">
        <x:v>眾人結束遠行，返回氏族領地。</x:v>
      </x:c>
      <x:c r="M5" s="25" t="str">
        <x:v>確認氏族近況，並向族長報到。</x:v>
      </x:c>
      <x:c r="N5" s="25" t="str">
        <x:v>重新建立氏族忠誠。</x:v>
      </x:c>
      <x:c r="O5" s="25" t="str">
        <x:v>戰役序章</x:v>
      </x:c>
      <x:c r="P5" s="56" t="str">
        <x:v>已完成</x:v>
      </x:c>
      <x:c r="Q5" s="25" t="str">
        <x:v>返鄉；氏族</x:v>
      </x:c>
      <x:c r="R5" s="32" t="n">
        <x:f>IF(OR(B5="",C5="",E5=""),"",B5*294+CHOOSE(MATCH(C5,{"海洋季","火焰季","大地季","黑暗季","風暴季","聖季期"},0),0,56,112,168,224,280)+E5)</x:f>
        <x:v>477751</x:v>
      </x:c>
    </x:row>
    <x:row r="6" ht="38" customHeight="1">
      <x:c r="A6" s="33" t="n">
        <x:v>2</x:v>
      </x:c>
      <x:c r="B6" s="57" t="n">
        <x:v>1625</x:v>
      </x:c>
      <x:c r="C6" s="58" t="str">
        <x:v>火焰季</x:v>
      </x:c>
      <x:c r="D6" s="26" t="str">
        <x:f>IF(C6="","",IF(C6="聖季期",CHOOSE(ROUNDUP(E6/7,0),"幸運週","命運週"),CHOOSE(ROUNDUP(E6/7,0),"混亂週","和諧週","死亡週","豐饒週","停滯週","運動週","幻象週","真理週")))</x:f>
        <x:v>和諧週</x:v>
      </x:c>
      <x:c r="E6" s="57" t="n">
        <x:v>12</x:v>
      </x:c>
      <x:c r="F6" s="26" t="str">
        <x:f>IF(E6="","",CHOOSE(MOD(E6-1,7)+1,"寒霜日","流水日","泥土日","風暴日","火焰日","狂野日","眾神日"))</x:f>
        <x:v>火焰日</x:v>
      </x:c>
      <x:c r="G6" s="26" t="str">
        <x:f>IF(OR(B6="",C6="",E6=""),"",B6&amp;" S.T. · "&amp;C6&amp;" · "&amp;D6&amp;" · "&amp;F6)</x:f>
        <x:v>1625 S.T. · 火焰季 · 和諧週 · 火焰日</x:v>
      </x:c>
      <x:c r="H6" s="28" t="str">
        <x:v>夏至祭儀</x:v>
      </x:c>
      <x:c r="I6" s="58" t="str">
        <x:v>儀式</x:v>
      </x:c>
      <x:c r="J6" s="28" t="str">
        <x:v>氏族神殿</x:v>
      </x:c>
      <x:c r="K6" s="28" t="str">
        <x:v>氏族全體</x:v>
      </x:c>
      <x:c r="L6" s="28" t="str">
        <x:v>參與夏至祭儀並向神祇獻祭。</x:v>
      </x:c>
      <x:c r="M6" s="28" t="str">
        <x:v>祭儀期間出現不祥徵兆。</x:v>
      </x:c>
      <x:c r="N6" s="28" t="str">
        <x:v>留下未解決的神諭。</x:v>
      </x:c>
      <x:c r="O6" s="28" t="str">
        <x:v>夏至事件</x:v>
      </x:c>
      <x:c r="P6" s="58" t="str">
        <x:v>未解決</x:v>
      </x:c>
      <x:c r="Q6" s="28" t="str">
        <x:v>夏至；神諭</x:v>
      </x:c>
      <x:c r="R6" s="33" t="n">
        <x:f>IF(OR(B6="",C6="",E6=""),"",B6*294+CHOOSE(MATCH(C6,{"海洋季","火焰季","大地季","黑暗季","風暴季","聖季期"},0),0,56,112,168,224,280)+E6)</x:f>
        <x:v>477818</x:v>
      </x:c>
    </x:row>
    <x:row r="7" ht="38" customHeight="1">
      <x:c r="A7" s="33" t="n">
        <x:v>3</x:v>
      </x:c>
      <x:c r="B7" s="57" t="n">
        <x:v>1625</x:v>
      </x:c>
      <x:c r="C7" s="58" t="str">
        <x:v>大地季</x:v>
      </x:c>
      <x:c r="D7" s="26" t="str">
        <x:f>IF(C7="","",IF(C7="聖季期",CHOOSE(ROUNDUP(E7/7,0),"幸運週","命運週"),CHOOSE(ROUNDUP(E7/7,0),"混亂週","和諧週","死亡週","豐饒週","停滯週","運動週","幻象週","真理週")))</x:f>
        <x:v>豐饒週</x:v>
      </x:c>
      <x:c r="E7" s="57" t="n">
        <x:v>24</x:v>
      </x:c>
      <x:c r="F7" s="26" t="str">
        <x:f>IF(E7="","",CHOOSE(MOD(E7-1,7)+1,"寒霜日","流水日","泥土日","風暴日","火焰日","狂野日","眾神日"))</x:f>
        <x:v>泥土日</x:v>
      </x:c>
      <x:c r="G7" s="26" t="str">
        <x:f>IF(OR(B7="",C7="",E7=""),"",B7&amp;" S.T. · "&amp;C7&amp;" · "&amp;D7&amp;" · "&amp;F7)</x:f>
        <x:v>1625 S.T. · 大地季 · 豐饒週 · 泥土日</x:v>
      </x:c>
      <x:c r="H7" s="28" t="str">
        <x:v>收穫宴會</x:v>
      </x:c>
      <x:c r="I7" s="58" t="str">
        <x:v>社交</x:v>
      </x:c>
      <x:c r="J7" s="28" t="str">
        <x:v>氏族大廳</x:v>
      </x:c>
      <x:c r="K7" s="28" t="str">
        <x:v>冒險者與族人</x:v>
      </x:c>
      <x:c r="L7" s="28" t="str">
        <x:v>氏族舉行年度收穫宴會。</x:v>
      </x:c>
      <x:c r="M7" s="28" t="str">
        <x:v>宴會中討論來年的盟約與婚姻。</x:v>
      </x:c>
      <x:c r="N7" s="28" t="str">
        <x:v>與鄰近氏族關係改善。</x:v>
      </x:c>
      <x:c r="O7" s="28" t="str">
        <x:v>收穫季插曲</x:v>
      </x:c>
      <x:c r="P7" s="58" t="str">
        <x:v>已完成</x:v>
      </x:c>
      <x:c r="Q7" s="28" t="str">
        <x:v>收穫；盟約</x:v>
      </x:c>
      <x:c r="R7" s="33" t="n">
        <x:f>IF(OR(B7="",C7="",E7=""),"",B7*294+CHOOSE(MATCH(C7,{"海洋季","火焰季","大地季","黑暗季","風暴季","聖季期"},0),0,56,112,168,224,280)+E7)</x:f>
        <x:v>477886</x:v>
      </x:c>
    </x:row>
    <x:row r="8" ht="38" customHeight="1">
      <x:c r="A8" s="33"/>
      <x:c r="B8" s="57"/>
      <x:c r="C8" s="58"/>
      <x:c r="D8" s="26" t="str">
        <x:f>IF(C8="","",IF(C8="聖季期",CHOOSE(ROUNDUP(E8/7,0),"幸運週","命運週"),CHOOSE(ROUNDUP(E8/7,0),"混亂週","和諧週","死亡週","豐饒週","停滯週","運動週","幻象週","真理週")))</x:f>
      </x:c>
      <x:c r="E8" s="57"/>
      <x:c r="F8" s="26" t="str">
        <x:f>IF(E8="","",CHOOSE(MOD(E8-1,7)+1,"寒霜日","流水日","泥土日","風暴日","火焰日","狂野日","眾神日"))</x:f>
      </x:c>
      <x:c r="G8" s="26" t="str">
        <x:f>IF(OR(B8="",C8="",E8=""),"",B8&amp;" S.T. · "&amp;C8&amp;" · "&amp;D8&amp;" · "&amp;F8)</x:f>
      </x:c>
      <x:c r="H8" s="28"/>
      <x:c r="I8" s="58"/>
      <x:c r="J8" s="28"/>
      <x:c r="K8" s="28"/>
      <x:c r="L8" s="28"/>
      <x:c r="M8" s="28"/>
      <x:c r="N8" s="28"/>
      <x:c r="O8" s="28"/>
      <x:c r="P8" s="58"/>
      <x:c r="Q8" s="28"/>
      <x:c r="R8" s="33" t="str">
        <x:f>IF(OR(B8="",C8="",E8=""),"",B8*294+CHOOSE(MATCH(C8,{"海洋季","火焰季","大地季","黑暗季","風暴季","聖季期"},0),0,56,112,168,224,280)+E8)</x:f>
      </x:c>
    </x:row>
    <x:row r="9" ht="38" customHeight="1">
      <x:c r="A9" s="33"/>
      <x:c r="B9" s="57"/>
      <x:c r="C9" s="58"/>
      <x:c r="D9" s="26" t="str">
        <x:f>IF(C9="","",IF(C9="聖季期",CHOOSE(ROUNDUP(E9/7,0),"幸運週","命運週"),CHOOSE(ROUNDUP(E9/7,0),"混亂週","和諧週","死亡週","豐饒週","停滯週","運動週","幻象週","真理週")))</x:f>
      </x:c>
      <x:c r="E9" s="57"/>
      <x:c r="F9" s="26" t="str">
        <x:f>IF(E9="","",CHOOSE(MOD(E9-1,7)+1,"寒霜日","流水日","泥土日","風暴日","火焰日","狂野日","眾神日"))</x:f>
      </x:c>
      <x:c r="G9" s="26" t="str">
        <x:f>IF(OR(B9="",C9="",E9=""),"",B9&amp;" S.T. · "&amp;C9&amp;" · "&amp;D9&amp;" · "&amp;F9)</x:f>
      </x:c>
      <x:c r="H9" s="28"/>
      <x:c r="I9" s="58"/>
      <x:c r="J9" s="28"/>
      <x:c r="K9" s="28"/>
      <x:c r="L9" s="28"/>
      <x:c r="M9" s="28"/>
      <x:c r="N9" s="28"/>
      <x:c r="O9" s="28"/>
      <x:c r="P9" s="58"/>
      <x:c r="Q9" s="28"/>
      <x:c r="R9" s="33" t="str">
        <x:f>IF(OR(B9="",C9="",E9=""),"",B9*294+CHOOSE(MATCH(C9,{"海洋季","火焰季","大地季","黑暗季","風暴季","聖季期"},0),0,56,112,168,224,280)+E9)</x:f>
      </x:c>
    </x:row>
    <x:row r="10" ht="38" customHeight="1">
      <x:c r="A10" s="33"/>
      <x:c r="B10" s="57"/>
      <x:c r="C10" s="58"/>
      <x:c r="D10" s="26" t="str">
        <x:f>IF(C10="","",IF(C10="聖季期",CHOOSE(ROUNDUP(E10/7,0),"幸運週","命運週"),CHOOSE(ROUNDUP(E10/7,0),"混亂週","和諧週","死亡週","豐饒週","停滯週","運動週","幻象週","真理週")))</x:f>
      </x:c>
      <x:c r="E10" s="57"/>
      <x:c r="F10" s="26" t="str">
        <x:f>IF(E10="","",CHOOSE(MOD(E10-1,7)+1,"寒霜日","流水日","泥土日","風暴日","火焰日","狂野日","眾神日"))</x:f>
      </x:c>
      <x:c r="G10" s="26" t="str">
        <x:f>IF(OR(B10="",C10="",E10=""),"",B10&amp;" S.T. · "&amp;C10&amp;" · "&amp;D10&amp;" · "&amp;F10)</x:f>
      </x:c>
      <x:c r="H10" s="28"/>
      <x:c r="I10" s="58"/>
      <x:c r="J10" s="28"/>
      <x:c r="K10" s="28"/>
      <x:c r="L10" s="28"/>
      <x:c r="M10" s="28"/>
      <x:c r="N10" s="28"/>
      <x:c r="O10" s="28"/>
      <x:c r="P10" s="58"/>
      <x:c r="Q10" s="28"/>
      <x:c r="R10" s="33" t="str">
        <x:f>IF(OR(B10="",C10="",E10=""),"",B10*294+CHOOSE(MATCH(C10,{"海洋季","火焰季","大地季","黑暗季","風暴季","聖季期"},0),0,56,112,168,224,280)+E10)</x:f>
      </x:c>
    </x:row>
    <x:row r="11" ht="38" customHeight="1">
      <x:c r="A11" s="33"/>
      <x:c r="B11" s="57"/>
      <x:c r="C11" s="58"/>
      <x:c r="D11" s="26" t="str">
        <x:f>IF(C11="","",IF(C11="聖季期",CHOOSE(ROUNDUP(E11/7,0),"幸運週","命運週"),CHOOSE(ROUNDUP(E11/7,0),"混亂週","和諧週","死亡週","豐饒週","停滯週","運動週","幻象週","真理週")))</x:f>
      </x:c>
      <x:c r="E11" s="57"/>
      <x:c r="F11" s="26" t="str">
        <x:f>IF(E11="","",CHOOSE(MOD(E11-1,7)+1,"寒霜日","流水日","泥土日","風暴日","火焰日","狂野日","眾神日"))</x:f>
      </x:c>
      <x:c r="G11" s="26" t="str">
        <x:f>IF(OR(B11="",C11="",E11=""),"",B11&amp;" S.T. · "&amp;C11&amp;" · "&amp;D11&amp;" · "&amp;F11)</x:f>
      </x:c>
      <x:c r="H11" s="28"/>
      <x:c r="I11" s="58"/>
      <x:c r="J11" s="28"/>
      <x:c r="K11" s="28"/>
      <x:c r="L11" s="28"/>
      <x:c r="M11" s="28"/>
      <x:c r="N11" s="28"/>
      <x:c r="O11" s="28"/>
      <x:c r="P11" s="58"/>
      <x:c r="Q11" s="28"/>
      <x:c r="R11" s="33" t="str">
        <x:f>IF(OR(B11="",C11="",E11=""),"",B11*294+CHOOSE(MATCH(C11,{"海洋季","火焰季","大地季","黑暗季","風暴季","聖季期"},0),0,56,112,168,224,280)+E11)</x:f>
      </x:c>
    </x:row>
    <x:row r="12" ht="38" customHeight="1">
      <x:c r="A12" s="33"/>
      <x:c r="B12" s="57"/>
      <x:c r="C12" s="58"/>
      <x:c r="D12" s="26" t="str">
        <x:f>IF(C12="","",IF(C12="聖季期",CHOOSE(ROUNDUP(E12/7,0),"幸運週","命運週"),CHOOSE(ROUNDUP(E12/7,0),"混亂週","和諧週","死亡週","豐饒週","停滯週","運動週","幻象週","真理週")))</x:f>
      </x:c>
      <x:c r="E12" s="57"/>
      <x:c r="F12" s="26" t="str">
        <x:f>IF(E12="","",CHOOSE(MOD(E12-1,7)+1,"寒霜日","流水日","泥土日","風暴日","火焰日","狂野日","眾神日"))</x:f>
      </x:c>
      <x:c r="G12" s="26" t="str">
        <x:f>IF(OR(B12="",C12="",E12=""),"",B12&amp;" S.T. · "&amp;C12&amp;" · "&amp;D12&amp;" · "&amp;F12)</x:f>
      </x:c>
      <x:c r="H12" s="28"/>
      <x:c r="I12" s="58"/>
      <x:c r="J12" s="28"/>
      <x:c r="K12" s="28"/>
      <x:c r="L12" s="28"/>
      <x:c r="M12" s="28"/>
      <x:c r="N12" s="28"/>
      <x:c r="O12" s="28"/>
      <x:c r="P12" s="58"/>
      <x:c r="Q12" s="28"/>
      <x:c r="R12" s="33" t="str">
        <x:f>IF(OR(B12="",C12="",E12=""),"",B12*294+CHOOSE(MATCH(C12,{"海洋季","火焰季","大地季","黑暗季","風暴季","聖季期"},0),0,56,112,168,224,280)+E12)</x:f>
      </x:c>
    </x:row>
    <x:row r="13" ht="38" customHeight="1">
      <x:c r="A13" s="33"/>
      <x:c r="B13" s="57"/>
      <x:c r="C13" s="58"/>
      <x:c r="D13" s="26" t="str">
        <x:f>IF(C13="","",IF(C13="聖季期",CHOOSE(ROUNDUP(E13/7,0),"幸運週","命運週"),CHOOSE(ROUNDUP(E13/7,0),"混亂週","和諧週","死亡週","豐饒週","停滯週","運動週","幻象週","真理週")))</x:f>
      </x:c>
      <x:c r="E13" s="57"/>
      <x:c r="F13" s="26" t="str">
        <x:f>IF(E13="","",CHOOSE(MOD(E13-1,7)+1,"寒霜日","流水日","泥土日","風暴日","火焰日","狂野日","眾神日"))</x:f>
      </x:c>
      <x:c r="G13" s="26" t="str">
        <x:f>IF(OR(B13="",C13="",E13=""),"",B13&amp;" S.T. · "&amp;C13&amp;" · "&amp;D13&amp;" · "&amp;F13)</x:f>
      </x:c>
      <x:c r="H13" s="28"/>
      <x:c r="I13" s="58"/>
      <x:c r="J13" s="28"/>
      <x:c r="K13" s="28"/>
      <x:c r="L13" s="28"/>
      <x:c r="M13" s="28"/>
      <x:c r="N13" s="28"/>
      <x:c r="O13" s="28"/>
      <x:c r="P13" s="58"/>
      <x:c r="Q13" s="28"/>
      <x:c r="R13" s="33" t="str">
        <x:f>IF(OR(B13="",C13="",E13=""),"",B13*294+CHOOSE(MATCH(C13,{"海洋季","火焰季","大地季","黑暗季","風暴季","聖季期"},0),0,56,112,168,224,280)+E13)</x:f>
      </x:c>
    </x:row>
    <x:row r="14" ht="38" customHeight="1">
      <x:c r="A14" s="33"/>
      <x:c r="B14" s="57"/>
      <x:c r="C14" s="58"/>
      <x:c r="D14" s="26" t="str">
        <x:f>IF(C14="","",IF(C14="聖季期",CHOOSE(ROUNDUP(E14/7,0),"幸運週","命運週"),CHOOSE(ROUNDUP(E14/7,0),"混亂週","和諧週","死亡週","豐饒週","停滯週","運動週","幻象週","真理週")))</x:f>
      </x:c>
      <x:c r="E14" s="57"/>
      <x:c r="F14" s="26" t="str">
        <x:f>IF(E14="","",CHOOSE(MOD(E14-1,7)+1,"寒霜日","流水日","泥土日","風暴日","火焰日","狂野日","眾神日"))</x:f>
      </x:c>
      <x:c r="G14" s="26" t="str">
        <x:f>IF(OR(B14="",C14="",E14=""),"",B14&amp;" S.T. · "&amp;C14&amp;" · "&amp;D14&amp;" · "&amp;F14)</x:f>
      </x:c>
      <x:c r="H14" s="28"/>
      <x:c r="I14" s="58"/>
      <x:c r="J14" s="28"/>
      <x:c r="K14" s="28"/>
      <x:c r="L14" s="28"/>
      <x:c r="M14" s="28"/>
      <x:c r="N14" s="28"/>
      <x:c r="O14" s="28"/>
      <x:c r="P14" s="58"/>
      <x:c r="Q14" s="28"/>
      <x:c r="R14" s="33" t="str">
        <x:f>IF(OR(B14="",C14="",E14=""),"",B14*294+CHOOSE(MATCH(C14,{"海洋季","火焰季","大地季","黑暗季","風暴季","聖季期"},0),0,56,112,168,224,280)+E14)</x:f>
      </x:c>
    </x:row>
    <x:row r="15" ht="38" customHeight="1">
      <x:c r="A15" s="33"/>
      <x:c r="B15" s="57"/>
      <x:c r="C15" s="58"/>
      <x:c r="D15" s="26" t="str">
        <x:f>IF(C15="","",IF(C15="聖季期",CHOOSE(ROUNDUP(E15/7,0),"幸運週","命運週"),CHOOSE(ROUNDUP(E15/7,0),"混亂週","和諧週","死亡週","豐饒週","停滯週","運動週","幻象週","真理週")))</x:f>
      </x:c>
      <x:c r="E15" s="57"/>
      <x:c r="F15" s="26" t="str">
        <x:f>IF(E15="","",CHOOSE(MOD(E15-1,7)+1,"寒霜日","流水日","泥土日","風暴日","火焰日","狂野日","眾神日"))</x:f>
      </x:c>
      <x:c r="G15" s="26" t="str">
        <x:f>IF(OR(B15="",C15="",E15=""),"",B15&amp;" S.T. · "&amp;C15&amp;" · "&amp;D15&amp;" · "&amp;F15)</x:f>
      </x:c>
      <x:c r="H15" s="28"/>
      <x:c r="I15" s="58"/>
      <x:c r="J15" s="28"/>
      <x:c r="K15" s="28"/>
      <x:c r="L15" s="28"/>
      <x:c r="M15" s="28"/>
      <x:c r="N15" s="28"/>
      <x:c r="O15" s="28"/>
      <x:c r="P15" s="58"/>
      <x:c r="Q15" s="28"/>
      <x:c r="R15" s="33" t="str">
        <x:f>IF(OR(B15="",C15="",E15=""),"",B15*294+CHOOSE(MATCH(C15,{"海洋季","火焰季","大地季","黑暗季","風暴季","聖季期"},0),0,56,112,168,224,280)+E15)</x:f>
      </x:c>
    </x:row>
    <x:row r="16" ht="38" customHeight="1">
      <x:c r="A16" s="33"/>
      <x:c r="B16" s="57"/>
      <x:c r="C16" s="58"/>
      <x:c r="D16" s="26" t="str">
        <x:f>IF(C16="","",IF(C16="聖季期",CHOOSE(ROUNDUP(E16/7,0),"幸運週","命運週"),CHOOSE(ROUNDUP(E16/7,0),"混亂週","和諧週","死亡週","豐饒週","停滯週","運動週","幻象週","真理週")))</x:f>
      </x:c>
      <x:c r="E16" s="57"/>
      <x:c r="F16" s="26" t="str">
        <x:f>IF(E16="","",CHOOSE(MOD(E16-1,7)+1,"寒霜日","流水日","泥土日","風暴日","火焰日","狂野日","眾神日"))</x:f>
      </x:c>
      <x:c r="G16" s="26" t="str">
        <x:f>IF(OR(B16="",C16="",E16=""),"",B16&amp;" S.T. · "&amp;C16&amp;" · "&amp;D16&amp;" · "&amp;F16)</x:f>
      </x:c>
      <x:c r="H16" s="28"/>
      <x:c r="I16" s="58"/>
      <x:c r="J16" s="28"/>
      <x:c r="K16" s="28"/>
      <x:c r="L16" s="28"/>
      <x:c r="M16" s="28"/>
      <x:c r="N16" s="28"/>
      <x:c r="O16" s="28"/>
      <x:c r="P16" s="58"/>
      <x:c r="Q16" s="28"/>
      <x:c r="R16" s="33" t="str">
        <x:f>IF(OR(B16="",C16="",E16=""),"",B16*294+CHOOSE(MATCH(C16,{"海洋季","火焰季","大地季","黑暗季","風暴季","聖季期"},0),0,56,112,168,224,280)+E16)</x:f>
      </x:c>
    </x:row>
    <x:row r="17" ht="38" customHeight="1">
      <x:c r="A17" s="33"/>
      <x:c r="B17" s="57"/>
      <x:c r="C17" s="58"/>
      <x:c r="D17" s="26" t="str">
        <x:f>IF(C17="","",IF(C17="聖季期",CHOOSE(ROUNDUP(E17/7,0),"幸運週","命運週"),CHOOSE(ROUNDUP(E17/7,0),"混亂週","和諧週","死亡週","豐饒週","停滯週","運動週","幻象週","真理週")))</x:f>
      </x:c>
      <x:c r="E17" s="57"/>
      <x:c r="F17" s="26" t="str">
        <x:f>IF(E17="","",CHOOSE(MOD(E17-1,7)+1,"寒霜日","流水日","泥土日","風暴日","火焰日","狂野日","眾神日"))</x:f>
      </x:c>
      <x:c r="G17" s="26" t="str">
        <x:f>IF(OR(B17="",C17="",E17=""),"",B17&amp;" S.T. · "&amp;C17&amp;" · "&amp;D17&amp;" · "&amp;F17)</x:f>
      </x:c>
      <x:c r="H17" s="28"/>
      <x:c r="I17" s="58"/>
      <x:c r="J17" s="28"/>
      <x:c r="K17" s="28"/>
      <x:c r="L17" s="28"/>
      <x:c r="M17" s="28"/>
      <x:c r="N17" s="28"/>
      <x:c r="O17" s="28"/>
      <x:c r="P17" s="58"/>
      <x:c r="Q17" s="28"/>
      <x:c r="R17" s="33" t="str">
        <x:f>IF(OR(B17="",C17="",E17=""),"",B17*294+CHOOSE(MATCH(C17,{"海洋季","火焰季","大地季","黑暗季","風暴季","聖季期"},0),0,56,112,168,224,280)+E17)</x:f>
      </x:c>
    </x:row>
    <x:row r="18" ht="38" customHeight="1">
      <x:c r="A18" s="33"/>
      <x:c r="B18" s="57"/>
      <x:c r="C18" s="58"/>
      <x:c r="D18" s="26" t="str">
        <x:f>IF(C18="","",IF(C18="聖季期",CHOOSE(ROUNDUP(E18/7,0),"幸運週","命運週"),CHOOSE(ROUNDUP(E18/7,0),"混亂週","和諧週","死亡週","豐饒週","停滯週","運動週","幻象週","真理週")))</x:f>
      </x:c>
      <x:c r="E18" s="57"/>
      <x:c r="F18" s="26" t="str">
        <x:f>IF(E18="","",CHOOSE(MOD(E18-1,7)+1,"寒霜日","流水日","泥土日","風暴日","火焰日","狂野日","眾神日"))</x:f>
      </x:c>
      <x:c r="G18" s="26" t="str">
        <x:f>IF(OR(B18="",C18="",E18=""),"",B18&amp;" S.T. · "&amp;C18&amp;" · "&amp;D18&amp;" · "&amp;F18)</x:f>
      </x:c>
      <x:c r="H18" s="28"/>
      <x:c r="I18" s="58"/>
      <x:c r="J18" s="28"/>
      <x:c r="K18" s="28"/>
      <x:c r="L18" s="28"/>
      <x:c r="M18" s="28"/>
      <x:c r="N18" s="28"/>
      <x:c r="O18" s="28"/>
      <x:c r="P18" s="58"/>
      <x:c r="Q18" s="28"/>
      <x:c r="R18" s="33" t="str">
        <x:f>IF(OR(B18="",C18="",E18=""),"",B18*294+CHOOSE(MATCH(C18,{"海洋季","火焰季","大地季","黑暗季","風暴季","聖季期"},0),0,56,112,168,224,280)+E18)</x:f>
      </x:c>
    </x:row>
    <x:row r="19" ht="38" customHeight="1">
      <x:c r="A19" s="33"/>
      <x:c r="B19" s="57"/>
      <x:c r="C19" s="58"/>
      <x:c r="D19" s="26" t="str">
        <x:f>IF(C19="","",IF(C19="聖季期",CHOOSE(ROUNDUP(E19/7,0),"幸運週","命運週"),CHOOSE(ROUNDUP(E19/7,0),"混亂週","和諧週","死亡週","豐饒週","停滯週","運動週","幻象週","真理週")))</x:f>
      </x:c>
      <x:c r="E19" s="57"/>
      <x:c r="F19" s="26" t="str">
        <x:f>IF(E19="","",CHOOSE(MOD(E19-1,7)+1,"寒霜日","流水日","泥土日","風暴日","火焰日","狂野日","眾神日"))</x:f>
      </x:c>
      <x:c r="G19" s="26" t="str">
        <x:f>IF(OR(B19="",C19="",E19=""),"",B19&amp;" S.T. · "&amp;C19&amp;" · "&amp;D19&amp;" · "&amp;F19)</x:f>
      </x:c>
      <x:c r="H19" s="28"/>
      <x:c r="I19" s="58"/>
      <x:c r="J19" s="28"/>
      <x:c r="K19" s="28"/>
      <x:c r="L19" s="28"/>
      <x:c r="M19" s="28"/>
      <x:c r="N19" s="28"/>
      <x:c r="O19" s="28"/>
      <x:c r="P19" s="58"/>
      <x:c r="Q19" s="28"/>
      <x:c r="R19" s="33" t="str">
        <x:f>IF(OR(B19="",C19="",E19=""),"",B19*294+CHOOSE(MATCH(C19,{"海洋季","火焰季","大地季","黑暗季","風暴季","聖季期"},0),0,56,112,168,224,280)+E19)</x:f>
      </x:c>
    </x:row>
    <x:row r="20" ht="38" customHeight="1">
      <x:c r="A20" s="33"/>
      <x:c r="B20" s="57"/>
      <x:c r="C20" s="58"/>
      <x:c r="D20" s="26" t="str">
        <x:f>IF(C20="","",IF(C20="聖季期",CHOOSE(ROUNDUP(E20/7,0),"幸運週","命運週"),CHOOSE(ROUNDUP(E20/7,0),"混亂週","和諧週","死亡週","豐饒週","停滯週","運動週","幻象週","真理週")))</x:f>
      </x:c>
      <x:c r="E20" s="57"/>
      <x:c r="F20" s="26" t="str">
        <x:f>IF(E20="","",CHOOSE(MOD(E20-1,7)+1,"寒霜日","流水日","泥土日","風暴日","火焰日","狂野日","眾神日"))</x:f>
      </x:c>
      <x:c r="G20" s="26" t="str">
        <x:f>IF(OR(B20="",C20="",E20=""),"",B20&amp;" S.T. · "&amp;C20&amp;" · "&amp;D20&amp;" · "&amp;F20)</x:f>
      </x:c>
      <x:c r="H20" s="28"/>
      <x:c r="I20" s="58"/>
      <x:c r="J20" s="28"/>
      <x:c r="K20" s="28"/>
      <x:c r="L20" s="28"/>
      <x:c r="M20" s="28"/>
      <x:c r="N20" s="28"/>
      <x:c r="O20" s="28"/>
      <x:c r="P20" s="58"/>
      <x:c r="Q20" s="28"/>
      <x:c r="R20" s="33" t="str">
        <x:f>IF(OR(B20="",C20="",E20=""),"",B20*294+CHOOSE(MATCH(C20,{"海洋季","火焰季","大地季","黑暗季","風暴季","聖季期"},0),0,56,112,168,224,280)+E20)</x:f>
      </x:c>
    </x:row>
    <x:row r="21" ht="38" customHeight="1">
      <x:c r="A21" s="33"/>
      <x:c r="B21" s="57"/>
      <x:c r="C21" s="58"/>
      <x:c r="D21" s="26" t="str">
        <x:f>IF(C21="","",IF(C21="聖季期",CHOOSE(ROUNDUP(E21/7,0),"幸運週","命運週"),CHOOSE(ROUNDUP(E21/7,0),"混亂週","和諧週","死亡週","豐饒週","停滯週","運動週","幻象週","真理週")))</x:f>
      </x:c>
      <x:c r="E21" s="57"/>
      <x:c r="F21" s="26" t="str">
        <x:f>IF(E21="","",CHOOSE(MOD(E21-1,7)+1,"寒霜日","流水日","泥土日","風暴日","火焰日","狂野日","眾神日"))</x:f>
      </x:c>
      <x:c r="G21" s="26" t="str">
        <x:f>IF(OR(B21="",C21="",E21=""),"",B21&amp;" S.T. · "&amp;C21&amp;" · "&amp;D21&amp;" · "&amp;F21)</x:f>
      </x:c>
      <x:c r="H21" s="28"/>
      <x:c r="I21" s="58"/>
      <x:c r="J21" s="28"/>
      <x:c r="K21" s="28"/>
      <x:c r="L21" s="28"/>
      <x:c r="M21" s="28"/>
      <x:c r="N21" s="28"/>
      <x:c r="O21" s="28"/>
      <x:c r="P21" s="58"/>
      <x:c r="Q21" s="28"/>
      <x:c r="R21" s="33" t="str">
        <x:f>IF(OR(B21="",C21="",E21=""),"",B21*294+CHOOSE(MATCH(C21,{"海洋季","火焰季","大地季","黑暗季","風暴季","聖季期"},0),0,56,112,168,224,280)+E21)</x:f>
      </x:c>
    </x:row>
    <x:row r="22" ht="38" customHeight="1">
      <x:c r="A22" s="33"/>
      <x:c r="B22" s="57"/>
      <x:c r="C22" s="58"/>
      <x:c r="D22" s="26" t="str">
        <x:f>IF(C22="","",IF(C22="聖季期",CHOOSE(ROUNDUP(E22/7,0),"幸運週","命運週"),CHOOSE(ROUNDUP(E22/7,0),"混亂週","和諧週","死亡週","豐饒週","停滯週","運動週","幻象週","真理週")))</x:f>
      </x:c>
      <x:c r="E22" s="57"/>
      <x:c r="F22" s="26" t="str">
        <x:f>IF(E22="","",CHOOSE(MOD(E22-1,7)+1,"寒霜日","流水日","泥土日","風暴日","火焰日","狂野日","眾神日"))</x:f>
      </x:c>
      <x:c r="G22" s="26" t="str">
        <x:f>IF(OR(B22="",C22="",E22=""),"",B22&amp;" S.T. · "&amp;C22&amp;" · "&amp;D22&amp;" · "&amp;F22)</x:f>
      </x:c>
      <x:c r="H22" s="28"/>
      <x:c r="I22" s="58"/>
      <x:c r="J22" s="28"/>
      <x:c r="K22" s="28"/>
      <x:c r="L22" s="28"/>
      <x:c r="M22" s="28"/>
      <x:c r="N22" s="28"/>
      <x:c r="O22" s="28"/>
      <x:c r="P22" s="58"/>
      <x:c r="Q22" s="28"/>
      <x:c r="R22" s="33" t="str">
        <x:f>IF(OR(B22="",C22="",E22=""),"",B22*294+CHOOSE(MATCH(C22,{"海洋季","火焰季","大地季","黑暗季","風暴季","聖季期"},0),0,56,112,168,224,280)+E22)</x:f>
      </x:c>
    </x:row>
    <x:row r="23" ht="38" customHeight="1">
      <x:c r="A23" s="33"/>
      <x:c r="B23" s="57"/>
      <x:c r="C23" s="58"/>
      <x:c r="D23" s="26" t="str">
        <x:f>IF(C23="","",IF(C23="聖季期",CHOOSE(ROUNDUP(E23/7,0),"幸運週","命運週"),CHOOSE(ROUNDUP(E23/7,0),"混亂週","和諧週","死亡週","豐饒週","停滯週","運動週","幻象週","真理週")))</x:f>
      </x:c>
      <x:c r="E23" s="57"/>
      <x:c r="F23" s="26" t="str">
        <x:f>IF(E23="","",CHOOSE(MOD(E23-1,7)+1,"寒霜日","流水日","泥土日","風暴日","火焰日","狂野日","眾神日"))</x:f>
      </x:c>
      <x:c r="G23" s="26" t="str">
        <x:f>IF(OR(B23="",C23="",E23=""),"",B23&amp;" S.T. · "&amp;C23&amp;" · "&amp;D23&amp;" · "&amp;F23)</x:f>
      </x:c>
      <x:c r="H23" s="28"/>
      <x:c r="I23" s="58"/>
      <x:c r="J23" s="28"/>
      <x:c r="K23" s="28"/>
      <x:c r="L23" s="28"/>
      <x:c r="M23" s="28"/>
      <x:c r="N23" s="28"/>
      <x:c r="O23" s="28"/>
      <x:c r="P23" s="58"/>
      <x:c r="Q23" s="28"/>
      <x:c r="R23" s="33" t="str">
        <x:f>IF(OR(B23="",C23="",E23=""),"",B23*294+CHOOSE(MATCH(C23,{"海洋季","火焰季","大地季","黑暗季","風暴季","聖季期"},0),0,56,112,168,224,280)+E23)</x:f>
      </x:c>
    </x:row>
    <x:row r="24" ht="38" customHeight="1">
      <x:c r="A24" s="33"/>
      <x:c r="B24" s="57"/>
      <x:c r="C24" s="58"/>
      <x:c r="D24" s="26" t="str">
        <x:f>IF(C24="","",IF(C24="聖季期",CHOOSE(ROUNDUP(E24/7,0),"幸運週","命運週"),CHOOSE(ROUNDUP(E24/7,0),"混亂週","和諧週","死亡週","豐饒週","停滯週","運動週","幻象週","真理週")))</x:f>
      </x:c>
      <x:c r="E24" s="57"/>
      <x:c r="F24" s="26" t="str">
        <x:f>IF(E24="","",CHOOSE(MOD(E24-1,7)+1,"寒霜日","流水日","泥土日","風暴日","火焰日","狂野日","眾神日"))</x:f>
      </x:c>
      <x:c r="G24" s="26" t="str">
        <x:f>IF(OR(B24="",C24="",E24=""),"",B24&amp;" S.T. · "&amp;C24&amp;" · "&amp;D24&amp;" · "&amp;F24)</x:f>
      </x:c>
      <x:c r="H24" s="28"/>
      <x:c r="I24" s="58"/>
      <x:c r="J24" s="28"/>
      <x:c r="K24" s="28"/>
      <x:c r="L24" s="28"/>
      <x:c r="M24" s="28"/>
      <x:c r="N24" s="28"/>
      <x:c r="O24" s="28"/>
      <x:c r="P24" s="58"/>
      <x:c r="Q24" s="28"/>
      <x:c r="R24" s="33" t="str">
        <x:f>IF(OR(B24="",C24="",E24=""),"",B24*294+CHOOSE(MATCH(C24,{"海洋季","火焰季","大地季","黑暗季","風暴季","聖季期"},0),0,56,112,168,224,280)+E24)</x:f>
      </x:c>
    </x:row>
    <x:row r="25" ht="38" customHeight="1">
      <x:c r="A25" s="33"/>
      <x:c r="B25" s="57"/>
      <x:c r="C25" s="58"/>
      <x:c r="D25" s="26" t="str">
        <x:f>IF(C25="","",IF(C25="聖季期",CHOOSE(ROUNDUP(E25/7,0),"幸運週","命運週"),CHOOSE(ROUNDUP(E25/7,0),"混亂週","和諧週","死亡週","豐饒週","停滯週","運動週","幻象週","真理週")))</x:f>
      </x:c>
      <x:c r="E25" s="57"/>
      <x:c r="F25" s="26" t="str">
        <x:f>IF(E25="","",CHOOSE(MOD(E25-1,7)+1,"寒霜日","流水日","泥土日","風暴日","火焰日","狂野日","眾神日"))</x:f>
      </x:c>
      <x:c r="G25" s="26" t="str">
        <x:f>IF(OR(B25="",C25="",E25=""),"",B25&amp;" S.T. · "&amp;C25&amp;" · "&amp;D25&amp;" · "&amp;F25)</x:f>
      </x:c>
      <x:c r="H25" s="28"/>
      <x:c r="I25" s="58"/>
      <x:c r="J25" s="28"/>
      <x:c r="K25" s="28"/>
      <x:c r="L25" s="28"/>
      <x:c r="M25" s="28"/>
      <x:c r="N25" s="28"/>
      <x:c r="O25" s="28"/>
      <x:c r="P25" s="58"/>
      <x:c r="Q25" s="28"/>
      <x:c r="R25" s="33" t="str">
        <x:f>IF(OR(B25="",C25="",E25=""),"",B25*294+CHOOSE(MATCH(C25,{"海洋季","火焰季","大地季","黑暗季","風暴季","聖季期"},0),0,56,112,168,224,280)+E25)</x:f>
      </x:c>
    </x:row>
    <x:row r="26" ht="38" customHeight="1">
      <x:c r="A26" s="33"/>
      <x:c r="B26" s="57"/>
      <x:c r="C26" s="58"/>
      <x:c r="D26" s="26" t="str">
        <x:f>IF(C26="","",IF(C26="聖季期",CHOOSE(ROUNDUP(E26/7,0),"幸運週","命運週"),CHOOSE(ROUNDUP(E26/7,0),"混亂週","和諧週","死亡週","豐饒週","停滯週","運動週","幻象週","真理週")))</x:f>
      </x:c>
      <x:c r="E26" s="57"/>
      <x:c r="F26" s="26" t="str">
        <x:f>IF(E26="","",CHOOSE(MOD(E26-1,7)+1,"寒霜日","流水日","泥土日","風暴日","火焰日","狂野日","眾神日"))</x:f>
      </x:c>
      <x:c r="G26" s="26" t="str">
        <x:f>IF(OR(B26="",C26="",E26=""),"",B26&amp;" S.T. · "&amp;C26&amp;" · "&amp;D26&amp;" · "&amp;F26)</x:f>
      </x:c>
      <x:c r="H26" s="28"/>
      <x:c r="I26" s="58"/>
      <x:c r="J26" s="28"/>
      <x:c r="K26" s="28"/>
      <x:c r="L26" s="28"/>
      <x:c r="M26" s="28"/>
      <x:c r="N26" s="28"/>
      <x:c r="O26" s="28"/>
      <x:c r="P26" s="58"/>
      <x:c r="Q26" s="28"/>
      <x:c r="R26" s="33" t="str">
        <x:f>IF(OR(B26="",C26="",E26=""),"",B26*294+CHOOSE(MATCH(C26,{"海洋季","火焰季","大地季","黑暗季","風暴季","聖季期"},0),0,56,112,168,224,280)+E26)</x:f>
      </x:c>
    </x:row>
    <x:row r="27" ht="38" customHeight="1">
      <x:c r="A27" s="33"/>
      <x:c r="B27" s="57"/>
      <x:c r="C27" s="58"/>
      <x:c r="D27" s="26" t="str">
        <x:f>IF(C27="","",IF(C27="聖季期",CHOOSE(ROUNDUP(E27/7,0),"幸運週","命運週"),CHOOSE(ROUNDUP(E27/7,0),"混亂週","和諧週","死亡週","豐饒週","停滯週","運動週","幻象週","真理週")))</x:f>
      </x:c>
      <x:c r="E27" s="57"/>
      <x:c r="F27" s="26" t="str">
        <x:f>IF(E27="","",CHOOSE(MOD(E27-1,7)+1,"寒霜日","流水日","泥土日","風暴日","火焰日","狂野日","眾神日"))</x:f>
      </x:c>
      <x:c r="G27" s="26" t="str">
        <x:f>IF(OR(B27="",C27="",E27=""),"",B27&amp;" S.T. · "&amp;C27&amp;" · "&amp;D27&amp;" · "&amp;F27)</x:f>
      </x:c>
      <x:c r="H27" s="28"/>
      <x:c r="I27" s="58"/>
      <x:c r="J27" s="28"/>
      <x:c r="K27" s="28"/>
      <x:c r="L27" s="28"/>
      <x:c r="M27" s="28"/>
      <x:c r="N27" s="28"/>
      <x:c r="O27" s="28"/>
      <x:c r="P27" s="58"/>
      <x:c r="Q27" s="28"/>
      <x:c r="R27" s="33" t="str">
        <x:f>IF(OR(B27="",C27="",E27=""),"",B27*294+CHOOSE(MATCH(C27,{"海洋季","火焰季","大地季","黑暗季","風暴季","聖季期"},0),0,56,112,168,224,280)+E27)</x:f>
      </x:c>
    </x:row>
    <x:row r="28" ht="38" customHeight="1">
      <x:c r="A28" s="33"/>
      <x:c r="B28" s="57"/>
      <x:c r="C28" s="58"/>
      <x:c r="D28" s="26" t="str">
        <x:f>IF(C28="","",IF(C28="聖季期",CHOOSE(ROUNDUP(E28/7,0),"幸運週","命運週"),CHOOSE(ROUNDUP(E28/7,0),"混亂週","和諧週","死亡週","豐饒週","停滯週","運動週","幻象週","真理週")))</x:f>
      </x:c>
      <x:c r="E28" s="57"/>
      <x:c r="F28" s="26" t="str">
        <x:f>IF(E28="","",CHOOSE(MOD(E28-1,7)+1,"寒霜日","流水日","泥土日","風暴日","火焰日","狂野日","眾神日"))</x:f>
      </x:c>
      <x:c r="G28" s="26" t="str">
        <x:f>IF(OR(B28="",C28="",E28=""),"",B28&amp;" S.T. · "&amp;C28&amp;" · "&amp;D28&amp;" · "&amp;F28)</x:f>
      </x:c>
      <x:c r="H28" s="28"/>
      <x:c r="I28" s="58"/>
      <x:c r="J28" s="28"/>
      <x:c r="K28" s="28"/>
      <x:c r="L28" s="28"/>
      <x:c r="M28" s="28"/>
      <x:c r="N28" s="28"/>
      <x:c r="O28" s="28"/>
      <x:c r="P28" s="58"/>
      <x:c r="Q28" s="28"/>
      <x:c r="R28" s="33" t="str">
        <x:f>IF(OR(B28="",C28="",E28=""),"",B28*294+CHOOSE(MATCH(C28,{"海洋季","火焰季","大地季","黑暗季","風暴季","聖季期"},0),0,56,112,168,224,280)+E28)</x:f>
      </x:c>
    </x:row>
    <x:row r="29" ht="38" customHeight="1">
      <x:c r="A29" s="33"/>
      <x:c r="B29" s="57"/>
      <x:c r="C29" s="58"/>
      <x:c r="D29" s="26" t="str">
        <x:f>IF(C29="","",IF(C29="聖季期",CHOOSE(ROUNDUP(E29/7,0),"幸運週","命運週"),CHOOSE(ROUNDUP(E29/7,0),"混亂週","和諧週","死亡週","豐饒週","停滯週","運動週","幻象週","真理週")))</x:f>
      </x:c>
      <x:c r="E29" s="57"/>
      <x:c r="F29" s="26" t="str">
        <x:f>IF(E29="","",CHOOSE(MOD(E29-1,7)+1,"寒霜日","流水日","泥土日","風暴日","火焰日","狂野日","眾神日"))</x:f>
      </x:c>
      <x:c r="G29" s="26" t="str">
        <x:f>IF(OR(B29="",C29="",E29=""),"",B29&amp;" S.T. · "&amp;C29&amp;" · "&amp;D29&amp;" · "&amp;F29)</x:f>
      </x:c>
      <x:c r="H29" s="28"/>
      <x:c r="I29" s="58"/>
      <x:c r="J29" s="28"/>
      <x:c r="K29" s="28"/>
      <x:c r="L29" s="28"/>
      <x:c r="M29" s="28"/>
      <x:c r="N29" s="28"/>
      <x:c r="O29" s="28"/>
      <x:c r="P29" s="58"/>
      <x:c r="Q29" s="28"/>
      <x:c r="R29" s="33" t="str">
        <x:f>IF(OR(B29="",C29="",E29=""),"",B29*294+CHOOSE(MATCH(C29,{"海洋季","火焰季","大地季","黑暗季","風暴季","聖季期"},0),0,56,112,168,224,280)+E29)</x:f>
      </x:c>
    </x:row>
    <x:row r="30" ht="38" customHeight="1">
      <x:c r="A30" s="33"/>
      <x:c r="B30" s="57"/>
      <x:c r="C30" s="58"/>
      <x:c r="D30" s="26" t="str">
        <x:f>IF(C30="","",IF(C30="聖季期",CHOOSE(ROUNDUP(E30/7,0),"幸運週","命運週"),CHOOSE(ROUNDUP(E30/7,0),"混亂週","和諧週","死亡週","豐饒週","停滯週","運動週","幻象週","真理週")))</x:f>
      </x:c>
      <x:c r="E30" s="57"/>
      <x:c r="F30" s="26" t="str">
        <x:f>IF(E30="","",CHOOSE(MOD(E30-1,7)+1,"寒霜日","流水日","泥土日","風暴日","火焰日","狂野日","眾神日"))</x:f>
      </x:c>
      <x:c r="G30" s="26" t="str">
        <x:f>IF(OR(B30="",C30="",E30=""),"",B30&amp;" S.T. · "&amp;C30&amp;" · "&amp;D30&amp;" · "&amp;F30)</x:f>
      </x:c>
      <x:c r="H30" s="28"/>
      <x:c r="I30" s="58"/>
      <x:c r="J30" s="28"/>
      <x:c r="K30" s="28"/>
      <x:c r="L30" s="28"/>
      <x:c r="M30" s="28"/>
      <x:c r="N30" s="28"/>
      <x:c r="O30" s="28"/>
      <x:c r="P30" s="58"/>
      <x:c r="Q30" s="28"/>
      <x:c r="R30" s="33" t="str">
        <x:f>IF(OR(B30="",C30="",E30=""),"",B30*294+CHOOSE(MATCH(C30,{"海洋季","火焰季","大地季","黑暗季","風暴季","聖季期"},0),0,56,112,168,224,280)+E30)</x:f>
      </x:c>
    </x:row>
    <x:row r="31" ht="38" customHeight="1">
      <x:c r="A31" s="33"/>
      <x:c r="B31" s="57"/>
      <x:c r="C31" s="58"/>
      <x:c r="D31" s="26" t="str">
        <x:f>IF(C31="","",IF(C31="聖季期",CHOOSE(ROUNDUP(E31/7,0),"幸運週","命運週"),CHOOSE(ROUNDUP(E31/7,0),"混亂週","和諧週","死亡週","豐饒週","停滯週","運動週","幻象週","真理週")))</x:f>
      </x:c>
      <x:c r="E31" s="57"/>
      <x:c r="F31" s="26" t="str">
        <x:f>IF(E31="","",CHOOSE(MOD(E31-1,7)+1,"寒霜日","流水日","泥土日","風暴日","火焰日","狂野日","眾神日"))</x:f>
      </x:c>
      <x:c r="G31" s="26" t="str">
        <x:f>IF(OR(B31="",C31="",E31=""),"",B31&amp;" S.T. · "&amp;C31&amp;" · "&amp;D31&amp;" · "&amp;F31)</x:f>
      </x:c>
      <x:c r="H31" s="28"/>
      <x:c r="I31" s="58"/>
      <x:c r="J31" s="28"/>
      <x:c r="K31" s="28"/>
      <x:c r="L31" s="28"/>
      <x:c r="M31" s="28"/>
      <x:c r="N31" s="28"/>
      <x:c r="O31" s="28"/>
      <x:c r="P31" s="58"/>
      <x:c r="Q31" s="28"/>
      <x:c r="R31" s="33" t="str">
        <x:f>IF(OR(B31="",C31="",E31=""),"",B31*294+CHOOSE(MATCH(C31,{"海洋季","火焰季","大地季","黑暗季","風暴季","聖季期"},0),0,56,112,168,224,280)+E31)</x:f>
      </x:c>
    </x:row>
    <x:row r="32" ht="38" customHeight="1">
      <x:c r="A32" s="33"/>
      <x:c r="B32" s="57"/>
      <x:c r="C32" s="58"/>
      <x:c r="D32" s="26" t="str">
        <x:f>IF(C32="","",IF(C32="聖季期",CHOOSE(ROUNDUP(E32/7,0),"幸運週","命運週"),CHOOSE(ROUNDUP(E32/7,0),"混亂週","和諧週","死亡週","豐饒週","停滯週","運動週","幻象週","真理週")))</x:f>
      </x:c>
      <x:c r="E32" s="57"/>
      <x:c r="F32" s="26" t="str">
        <x:f>IF(E32="","",CHOOSE(MOD(E32-1,7)+1,"寒霜日","流水日","泥土日","風暴日","火焰日","狂野日","眾神日"))</x:f>
      </x:c>
      <x:c r="G32" s="26" t="str">
        <x:f>IF(OR(B32="",C32="",E32=""),"",B32&amp;" S.T. · "&amp;C32&amp;" · "&amp;D32&amp;" · "&amp;F32)</x:f>
      </x:c>
      <x:c r="H32" s="28"/>
      <x:c r="I32" s="58"/>
      <x:c r="J32" s="28"/>
      <x:c r="K32" s="28"/>
      <x:c r="L32" s="28"/>
      <x:c r="M32" s="28"/>
      <x:c r="N32" s="28"/>
      <x:c r="O32" s="28"/>
      <x:c r="P32" s="58"/>
      <x:c r="Q32" s="28"/>
      <x:c r="R32" s="33" t="str">
        <x:f>IF(OR(B32="",C32="",E32=""),"",B32*294+CHOOSE(MATCH(C32,{"海洋季","火焰季","大地季","黑暗季","風暴季","聖季期"},0),0,56,112,168,224,280)+E32)</x:f>
      </x:c>
    </x:row>
    <x:row r="33" ht="38" customHeight="1">
      <x:c r="A33" s="33"/>
      <x:c r="B33" s="57"/>
      <x:c r="C33" s="58"/>
      <x:c r="D33" s="26" t="str">
        <x:f>IF(C33="","",IF(C33="聖季期",CHOOSE(ROUNDUP(E33/7,0),"幸運週","命運週"),CHOOSE(ROUNDUP(E33/7,0),"混亂週","和諧週","死亡週","豐饒週","停滯週","運動週","幻象週","真理週")))</x:f>
      </x:c>
      <x:c r="E33" s="57"/>
      <x:c r="F33" s="26" t="str">
        <x:f>IF(E33="","",CHOOSE(MOD(E33-1,7)+1,"寒霜日","流水日","泥土日","風暴日","火焰日","狂野日","眾神日"))</x:f>
      </x:c>
      <x:c r="G33" s="26" t="str">
        <x:f>IF(OR(B33="",C33="",E33=""),"",B33&amp;" S.T. · "&amp;C33&amp;" · "&amp;D33&amp;" · "&amp;F33)</x:f>
      </x:c>
      <x:c r="H33" s="28"/>
      <x:c r="I33" s="58"/>
      <x:c r="J33" s="28"/>
      <x:c r="K33" s="28"/>
      <x:c r="L33" s="28"/>
      <x:c r="M33" s="28"/>
      <x:c r="N33" s="28"/>
      <x:c r="O33" s="28"/>
      <x:c r="P33" s="58"/>
      <x:c r="Q33" s="28"/>
      <x:c r="R33" s="33" t="str">
        <x:f>IF(OR(B33="",C33="",E33=""),"",B33*294+CHOOSE(MATCH(C33,{"海洋季","火焰季","大地季","黑暗季","風暴季","聖季期"},0),0,56,112,168,224,280)+E33)</x:f>
      </x:c>
    </x:row>
    <x:row r="34" ht="38" customHeight="1">
      <x:c r="A34" s="33"/>
      <x:c r="B34" s="57"/>
      <x:c r="C34" s="58"/>
      <x:c r="D34" s="26" t="str">
        <x:f>IF(C34="","",IF(C34="聖季期",CHOOSE(ROUNDUP(E34/7,0),"幸運週","命運週"),CHOOSE(ROUNDUP(E34/7,0),"混亂週","和諧週","死亡週","豐饒週","停滯週","運動週","幻象週","真理週")))</x:f>
      </x:c>
      <x:c r="E34" s="57"/>
      <x:c r="F34" s="26" t="str">
        <x:f>IF(E34="","",CHOOSE(MOD(E34-1,7)+1,"寒霜日","流水日","泥土日","風暴日","火焰日","狂野日","眾神日"))</x:f>
      </x:c>
      <x:c r="G34" s="26" t="str">
        <x:f>IF(OR(B34="",C34="",E34=""),"",B34&amp;" S.T. · "&amp;C34&amp;" · "&amp;D34&amp;" · "&amp;F34)</x:f>
      </x:c>
      <x:c r="H34" s="28"/>
      <x:c r="I34" s="58"/>
      <x:c r="J34" s="28"/>
      <x:c r="K34" s="28"/>
      <x:c r="L34" s="28"/>
      <x:c r="M34" s="28"/>
      <x:c r="N34" s="28"/>
      <x:c r="O34" s="28"/>
      <x:c r="P34" s="58"/>
      <x:c r="Q34" s="28"/>
      <x:c r="R34" s="33" t="str">
        <x:f>IF(OR(B34="",C34="",E34=""),"",B34*294+CHOOSE(MATCH(C34,{"海洋季","火焰季","大地季","黑暗季","風暴季","聖季期"},0),0,56,112,168,224,280)+E34)</x:f>
      </x:c>
    </x:row>
    <x:row r="35" ht="38" customHeight="1">
      <x:c r="A35" s="33"/>
      <x:c r="B35" s="57"/>
      <x:c r="C35" s="58"/>
      <x:c r="D35" s="26" t="str">
        <x:f>IF(C35="","",IF(C35="聖季期",CHOOSE(ROUNDUP(E35/7,0),"幸運週","命運週"),CHOOSE(ROUNDUP(E35/7,0),"混亂週","和諧週","死亡週","豐饒週","停滯週","運動週","幻象週","真理週")))</x:f>
      </x:c>
      <x:c r="E35" s="57"/>
      <x:c r="F35" s="26" t="str">
        <x:f>IF(E35="","",CHOOSE(MOD(E35-1,7)+1,"寒霜日","流水日","泥土日","風暴日","火焰日","狂野日","眾神日"))</x:f>
      </x:c>
      <x:c r="G35" s="26" t="str">
        <x:f>IF(OR(B35="",C35="",E35=""),"",B35&amp;" S.T. · "&amp;C35&amp;" · "&amp;D35&amp;" · "&amp;F35)</x:f>
      </x:c>
      <x:c r="H35" s="28"/>
      <x:c r="I35" s="58"/>
      <x:c r="J35" s="28"/>
      <x:c r="K35" s="28"/>
      <x:c r="L35" s="28"/>
      <x:c r="M35" s="28"/>
      <x:c r="N35" s="28"/>
      <x:c r="O35" s="28"/>
      <x:c r="P35" s="58"/>
      <x:c r="Q35" s="28"/>
      <x:c r="R35" s="33" t="str">
        <x:f>IF(OR(B35="",C35="",E35=""),"",B35*294+CHOOSE(MATCH(C35,{"海洋季","火焰季","大地季","黑暗季","風暴季","聖季期"},0),0,56,112,168,224,280)+E35)</x:f>
      </x:c>
    </x:row>
    <x:row r="36" ht="38" customHeight="1">
      <x:c r="A36" s="33"/>
      <x:c r="B36" s="57"/>
      <x:c r="C36" s="58"/>
      <x:c r="D36" s="26" t="str">
        <x:f>IF(C36="","",IF(C36="聖季期",CHOOSE(ROUNDUP(E36/7,0),"幸運週","命運週"),CHOOSE(ROUNDUP(E36/7,0),"混亂週","和諧週","死亡週","豐饒週","停滯週","運動週","幻象週","真理週")))</x:f>
      </x:c>
      <x:c r="E36" s="57"/>
      <x:c r="F36" s="26" t="str">
        <x:f>IF(E36="","",CHOOSE(MOD(E36-1,7)+1,"寒霜日","流水日","泥土日","風暴日","火焰日","狂野日","眾神日"))</x:f>
      </x:c>
      <x:c r="G36" s="26" t="str">
        <x:f>IF(OR(B36="",C36="",E36=""),"",B36&amp;" S.T. · "&amp;C36&amp;" · "&amp;D36&amp;" · "&amp;F36)</x:f>
      </x:c>
      <x:c r="H36" s="28"/>
      <x:c r="I36" s="58"/>
      <x:c r="J36" s="28"/>
      <x:c r="K36" s="28"/>
      <x:c r="L36" s="28"/>
      <x:c r="M36" s="28"/>
      <x:c r="N36" s="28"/>
      <x:c r="O36" s="28"/>
      <x:c r="P36" s="58"/>
      <x:c r="Q36" s="28"/>
      <x:c r="R36" s="33" t="str">
        <x:f>IF(OR(B36="",C36="",E36=""),"",B36*294+CHOOSE(MATCH(C36,{"海洋季","火焰季","大地季","黑暗季","風暴季","聖季期"},0),0,56,112,168,224,280)+E36)</x:f>
      </x:c>
    </x:row>
    <x:row r="37" ht="38" customHeight="1">
      <x:c r="A37" s="33"/>
      <x:c r="B37" s="57"/>
      <x:c r="C37" s="58"/>
      <x:c r="D37" s="26" t="str">
        <x:f>IF(C37="","",IF(C37="聖季期",CHOOSE(ROUNDUP(E37/7,0),"幸運週","命運週"),CHOOSE(ROUNDUP(E37/7,0),"混亂週","和諧週","死亡週","豐饒週","停滯週","運動週","幻象週","真理週")))</x:f>
      </x:c>
      <x:c r="E37" s="57"/>
      <x:c r="F37" s="26" t="str">
        <x:f>IF(E37="","",CHOOSE(MOD(E37-1,7)+1,"寒霜日","流水日","泥土日","風暴日","火焰日","狂野日","眾神日"))</x:f>
      </x:c>
      <x:c r="G37" s="26" t="str">
        <x:f>IF(OR(B37="",C37="",E37=""),"",B37&amp;" S.T. · "&amp;C37&amp;" · "&amp;D37&amp;" · "&amp;F37)</x:f>
      </x:c>
      <x:c r="H37" s="28"/>
      <x:c r="I37" s="58"/>
      <x:c r="J37" s="28"/>
      <x:c r="K37" s="28"/>
      <x:c r="L37" s="28"/>
      <x:c r="M37" s="28"/>
      <x:c r="N37" s="28"/>
      <x:c r="O37" s="28"/>
      <x:c r="P37" s="58"/>
      <x:c r="Q37" s="28"/>
      <x:c r="R37" s="33" t="str">
        <x:f>IF(OR(B37="",C37="",E37=""),"",B37*294+CHOOSE(MATCH(C37,{"海洋季","火焰季","大地季","黑暗季","風暴季","聖季期"},0),0,56,112,168,224,280)+E37)</x:f>
      </x:c>
    </x:row>
    <x:row r="38" ht="38" customHeight="1">
      <x:c r="A38" s="33"/>
      <x:c r="B38" s="57"/>
      <x:c r="C38" s="58"/>
      <x:c r="D38" s="26" t="str">
        <x:f>IF(C38="","",IF(C38="聖季期",CHOOSE(ROUNDUP(E38/7,0),"幸運週","命運週"),CHOOSE(ROUNDUP(E38/7,0),"混亂週","和諧週","死亡週","豐饒週","停滯週","運動週","幻象週","真理週")))</x:f>
      </x:c>
      <x:c r="E38" s="57"/>
      <x:c r="F38" s="26" t="str">
        <x:f>IF(E38="","",CHOOSE(MOD(E38-1,7)+1,"寒霜日","流水日","泥土日","風暴日","火焰日","狂野日","眾神日"))</x:f>
      </x:c>
      <x:c r="G38" s="26" t="str">
        <x:f>IF(OR(B38="",C38="",E38=""),"",B38&amp;" S.T. · "&amp;C38&amp;" · "&amp;D38&amp;" · "&amp;F38)</x:f>
      </x:c>
      <x:c r="H38" s="28"/>
      <x:c r="I38" s="58"/>
      <x:c r="J38" s="28"/>
      <x:c r="K38" s="28"/>
      <x:c r="L38" s="28"/>
      <x:c r="M38" s="28"/>
      <x:c r="N38" s="28"/>
      <x:c r="O38" s="28"/>
      <x:c r="P38" s="58"/>
      <x:c r="Q38" s="28"/>
      <x:c r="R38" s="33" t="str">
        <x:f>IF(OR(B38="",C38="",E38=""),"",B38*294+CHOOSE(MATCH(C38,{"海洋季","火焰季","大地季","黑暗季","風暴季","聖季期"},0),0,56,112,168,224,280)+E38)</x:f>
      </x:c>
    </x:row>
    <x:row r="39" ht="38" customHeight="1">
      <x:c r="A39" s="33"/>
      <x:c r="B39" s="57"/>
      <x:c r="C39" s="58"/>
      <x:c r="D39" s="26" t="str">
        <x:f>IF(C39="","",IF(C39="聖季期",CHOOSE(ROUNDUP(E39/7,0),"幸運週","命運週"),CHOOSE(ROUNDUP(E39/7,0),"混亂週","和諧週","死亡週","豐饒週","停滯週","運動週","幻象週","真理週")))</x:f>
      </x:c>
      <x:c r="E39" s="57"/>
      <x:c r="F39" s="26" t="str">
        <x:f>IF(E39="","",CHOOSE(MOD(E39-1,7)+1,"寒霜日","流水日","泥土日","風暴日","火焰日","狂野日","眾神日"))</x:f>
      </x:c>
      <x:c r="G39" s="26" t="str">
        <x:f>IF(OR(B39="",C39="",E39=""),"",B39&amp;" S.T. · "&amp;C39&amp;" · "&amp;D39&amp;" · "&amp;F39)</x:f>
      </x:c>
      <x:c r="H39" s="28"/>
      <x:c r="I39" s="58"/>
      <x:c r="J39" s="28"/>
      <x:c r="K39" s="28"/>
      <x:c r="L39" s="28"/>
      <x:c r="M39" s="28"/>
      <x:c r="N39" s="28"/>
      <x:c r="O39" s="28"/>
      <x:c r="P39" s="58"/>
      <x:c r="Q39" s="28"/>
      <x:c r="R39" s="33" t="str">
        <x:f>IF(OR(B39="",C39="",E39=""),"",B39*294+CHOOSE(MATCH(C39,{"海洋季","火焰季","大地季","黑暗季","風暴季","聖季期"},0),0,56,112,168,224,280)+E39)</x:f>
      </x:c>
    </x:row>
    <x:row r="40" ht="38" customHeight="1">
      <x:c r="A40" s="33"/>
      <x:c r="B40" s="57"/>
      <x:c r="C40" s="58"/>
      <x:c r="D40" s="26" t="str">
        <x:f>IF(C40="","",IF(C40="聖季期",CHOOSE(ROUNDUP(E40/7,0),"幸運週","命運週"),CHOOSE(ROUNDUP(E40/7,0),"混亂週","和諧週","死亡週","豐饒週","停滯週","運動週","幻象週","真理週")))</x:f>
      </x:c>
      <x:c r="E40" s="57"/>
      <x:c r="F40" s="26" t="str">
        <x:f>IF(E40="","",CHOOSE(MOD(E40-1,7)+1,"寒霜日","流水日","泥土日","風暴日","火焰日","狂野日","眾神日"))</x:f>
      </x:c>
      <x:c r="G40" s="26" t="str">
        <x:f>IF(OR(B40="",C40="",E40=""),"",B40&amp;" S.T. · "&amp;C40&amp;" · "&amp;D40&amp;" · "&amp;F40)</x:f>
      </x:c>
      <x:c r="H40" s="28"/>
      <x:c r="I40" s="58"/>
      <x:c r="J40" s="28"/>
      <x:c r="K40" s="28"/>
      <x:c r="L40" s="28"/>
      <x:c r="M40" s="28"/>
      <x:c r="N40" s="28"/>
      <x:c r="O40" s="28"/>
      <x:c r="P40" s="58"/>
      <x:c r="Q40" s="28"/>
      <x:c r="R40" s="33" t="str">
        <x:f>IF(OR(B40="",C40="",E40=""),"",B40*294+CHOOSE(MATCH(C40,{"海洋季","火焰季","大地季","黑暗季","風暴季","聖季期"},0),0,56,112,168,224,280)+E40)</x:f>
      </x:c>
    </x:row>
    <x:row r="41" ht="38" customHeight="1">
      <x:c r="A41" s="33"/>
      <x:c r="B41" s="57"/>
      <x:c r="C41" s="58"/>
      <x:c r="D41" s="26" t="str">
        <x:f>IF(C41="","",IF(C41="聖季期",CHOOSE(ROUNDUP(E41/7,0),"幸運週","命運週"),CHOOSE(ROUNDUP(E41/7,0),"混亂週","和諧週","死亡週","豐饒週","停滯週","運動週","幻象週","真理週")))</x:f>
      </x:c>
      <x:c r="E41" s="57"/>
      <x:c r="F41" s="26" t="str">
        <x:f>IF(E41="","",CHOOSE(MOD(E41-1,7)+1,"寒霜日","流水日","泥土日","風暴日","火焰日","狂野日","眾神日"))</x:f>
      </x:c>
      <x:c r="G41" s="26" t="str">
        <x:f>IF(OR(B41="",C41="",E41=""),"",B41&amp;" S.T. · "&amp;C41&amp;" · "&amp;D41&amp;" · "&amp;F41)</x:f>
      </x:c>
      <x:c r="H41" s="28"/>
      <x:c r="I41" s="58"/>
      <x:c r="J41" s="28"/>
      <x:c r="K41" s="28"/>
      <x:c r="L41" s="28"/>
      <x:c r="M41" s="28"/>
      <x:c r="N41" s="28"/>
      <x:c r="O41" s="28"/>
      <x:c r="P41" s="58"/>
      <x:c r="Q41" s="28"/>
      <x:c r="R41" s="33" t="str">
        <x:f>IF(OR(B41="",C41="",E41=""),"",B41*294+CHOOSE(MATCH(C41,{"海洋季","火焰季","大地季","黑暗季","風暴季","聖季期"},0),0,56,112,168,224,280)+E41)</x:f>
      </x:c>
    </x:row>
    <x:row r="42" ht="38" customHeight="1">
      <x:c r="A42" s="33"/>
      <x:c r="B42" s="57"/>
      <x:c r="C42" s="58"/>
      <x:c r="D42" s="26" t="str">
        <x:f>IF(C42="","",IF(C42="聖季期",CHOOSE(ROUNDUP(E42/7,0),"幸運週","命運週"),CHOOSE(ROUNDUP(E42/7,0),"混亂週","和諧週","死亡週","豐饒週","停滯週","運動週","幻象週","真理週")))</x:f>
      </x:c>
      <x:c r="E42" s="57"/>
      <x:c r="F42" s="26" t="str">
        <x:f>IF(E42="","",CHOOSE(MOD(E42-1,7)+1,"寒霜日","流水日","泥土日","風暴日","火焰日","狂野日","眾神日"))</x:f>
      </x:c>
      <x:c r="G42" s="26" t="str">
        <x:f>IF(OR(B42="",C42="",E42=""),"",B42&amp;" S.T. · "&amp;C42&amp;" · "&amp;D42&amp;" · "&amp;F42)</x:f>
      </x:c>
      <x:c r="H42" s="28"/>
      <x:c r="I42" s="58"/>
      <x:c r="J42" s="28"/>
      <x:c r="K42" s="28"/>
      <x:c r="L42" s="28"/>
      <x:c r="M42" s="28"/>
      <x:c r="N42" s="28"/>
      <x:c r="O42" s="28"/>
      <x:c r="P42" s="58"/>
      <x:c r="Q42" s="28"/>
      <x:c r="R42" s="33" t="str">
        <x:f>IF(OR(B42="",C42="",E42=""),"",B42*294+CHOOSE(MATCH(C42,{"海洋季","火焰季","大地季","黑暗季","風暴季","聖季期"},0),0,56,112,168,224,280)+E42)</x:f>
      </x:c>
    </x:row>
    <x:row r="43" ht="38" customHeight="1">
      <x:c r="A43" s="33"/>
      <x:c r="B43" s="57"/>
      <x:c r="C43" s="58"/>
      <x:c r="D43" s="26" t="str">
        <x:f>IF(C43="","",IF(C43="聖季期",CHOOSE(ROUNDUP(E43/7,0),"幸運週","命運週"),CHOOSE(ROUNDUP(E43/7,0),"混亂週","和諧週","死亡週","豐饒週","停滯週","運動週","幻象週","真理週")))</x:f>
      </x:c>
      <x:c r="E43" s="57"/>
      <x:c r="F43" s="26" t="str">
        <x:f>IF(E43="","",CHOOSE(MOD(E43-1,7)+1,"寒霜日","流水日","泥土日","風暴日","火焰日","狂野日","眾神日"))</x:f>
      </x:c>
      <x:c r="G43" s="26" t="str">
        <x:f>IF(OR(B43="",C43="",E43=""),"",B43&amp;" S.T. · "&amp;C43&amp;" · "&amp;D43&amp;" · "&amp;F43)</x:f>
      </x:c>
      <x:c r="H43" s="28"/>
      <x:c r="I43" s="58"/>
      <x:c r="J43" s="28"/>
      <x:c r="K43" s="28"/>
      <x:c r="L43" s="28"/>
      <x:c r="M43" s="28"/>
      <x:c r="N43" s="28"/>
      <x:c r="O43" s="28"/>
      <x:c r="P43" s="58"/>
      <x:c r="Q43" s="28"/>
      <x:c r="R43" s="33" t="str">
        <x:f>IF(OR(B43="",C43="",E43=""),"",B43*294+CHOOSE(MATCH(C43,{"海洋季","火焰季","大地季","黑暗季","風暴季","聖季期"},0),0,56,112,168,224,280)+E43)</x:f>
      </x:c>
    </x:row>
    <x:row r="44" ht="38" customHeight="1">
      <x:c r="A44" s="33"/>
      <x:c r="B44" s="57"/>
      <x:c r="C44" s="58"/>
      <x:c r="D44" s="26" t="str">
        <x:f>IF(C44="","",IF(C44="聖季期",CHOOSE(ROUNDUP(E44/7,0),"幸運週","命運週"),CHOOSE(ROUNDUP(E44/7,0),"混亂週","和諧週","死亡週","豐饒週","停滯週","運動週","幻象週","真理週")))</x:f>
      </x:c>
      <x:c r="E44" s="57"/>
      <x:c r="F44" s="26" t="str">
        <x:f>IF(E44="","",CHOOSE(MOD(E44-1,7)+1,"寒霜日","流水日","泥土日","風暴日","火焰日","狂野日","眾神日"))</x:f>
      </x:c>
      <x:c r="G44" s="26" t="str">
        <x:f>IF(OR(B44="",C44="",E44=""),"",B44&amp;" S.T. · "&amp;C44&amp;" · "&amp;D44&amp;" · "&amp;F44)</x:f>
      </x:c>
      <x:c r="H44" s="28"/>
      <x:c r="I44" s="58"/>
      <x:c r="J44" s="28"/>
      <x:c r="K44" s="28"/>
      <x:c r="L44" s="28"/>
      <x:c r="M44" s="28"/>
      <x:c r="N44" s="28"/>
      <x:c r="O44" s="28"/>
      <x:c r="P44" s="58"/>
      <x:c r="Q44" s="28"/>
      <x:c r="R44" s="33" t="str">
        <x:f>IF(OR(B44="",C44="",E44=""),"",B44*294+CHOOSE(MATCH(C44,{"海洋季","火焰季","大地季","黑暗季","風暴季","聖季期"},0),0,56,112,168,224,280)+E44)</x:f>
      </x:c>
    </x:row>
    <x:row r="45" ht="38" customHeight="1">
      <x:c r="A45" s="33"/>
      <x:c r="B45" s="57"/>
      <x:c r="C45" s="58"/>
      <x:c r="D45" s="26" t="str">
        <x:f>IF(C45="","",IF(C45="聖季期",CHOOSE(ROUNDUP(E45/7,0),"幸運週","命運週"),CHOOSE(ROUNDUP(E45/7,0),"混亂週","和諧週","死亡週","豐饒週","停滯週","運動週","幻象週","真理週")))</x:f>
      </x:c>
      <x:c r="E45" s="57"/>
      <x:c r="F45" s="26" t="str">
        <x:f>IF(E45="","",CHOOSE(MOD(E45-1,7)+1,"寒霜日","流水日","泥土日","風暴日","火焰日","狂野日","眾神日"))</x:f>
      </x:c>
      <x:c r="G45" s="26" t="str">
        <x:f>IF(OR(B45="",C45="",E45=""),"",B45&amp;" S.T. · "&amp;C45&amp;" · "&amp;D45&amp;" · "&amp;F45)</x:f>
      </x:c>
      <x:c r="H45" s="28"/>
      <x:c r="I45" s="58"/>
      <x:c r="J45" s="28"/>
      <x:c r="K45" s="28"/>
      <x:c r="L45" s="28"/>
      <x:c r="M45" s="28"/>
      <x:c r="N45" s="28"/>
      <x:c r="O45" s="28"/>
      <x:c r="P45" s="58"/>
      <x:c r="Q45" s="28"/>
      <x:c r="R45" s="33" t="str">
        <x:f>IF(OR(B45="",C45="",E45=""),"",B45*294+CHOOSE(MATCH(C45,{"海洋季","火焰季","大地季","黑暗季","風暴季","聖季期"},0),0,56,112,168,224,280)+E45)</x:f>
      </x:c>
    </x:row>
    <x:row r="46" ht="38" customHeight="1">
      <x:c r="A46" s="33"/>
      <x:c r="B46" s="57"/>
      <x:c r="C46" s="58"/>
      <x:c r="D46" s="26" t="str">
        <x:f>IF(C46="","",IF(C46="聖季期",CHOOSE(ROUNDUP(E46/7,0),"幸運週","命運週"),CHOOSE(ROUNDUP(E46/7,0),"混亂週","和諧週","死亡週","豐饒週","停滯週","運動週","幻象週","真理週")))</x:f>
      </x:c>
      <x:c r="E46" s="57"/>
      <x:c r="F46" s="26" t="str">
        <x:f>IF(E46="","",CHOOSE(MOD(E46-1,7)+1,"寒霜日","流水日","泥土日","風暴日","火焰日","狂野日","眾神日"))</x:f>
      </x:c>
      <x:c r="G46" s="26" t="str">
        <x:f>IF(OR(B46="",C46="",E46=""),"",B46&amp;" S.T. · "&amp;C46&amp;" · "&amp;D46&amp;" · "&amp;F46)</x:f>
      </x:c>
      <x:c r="H46" s="28"/>
      <x:c r="I46" s="58"/>
      <x:c r="J46" s="28"/>
      <x:c r="K46" s="28"/>
      <x:c r="L46" s="28"/>
      <x:c r="M46" s="28"/>
      <x:c r="N46" s="28"/>
      <x:c r="O46" s="28"/>
      <x:c r="P46" s="58"/>
      <x:c r="Q46" s="28"/>
      <x:c r="R46" s="33" t="str">
        <x:f>IF(OR(B46="",C46="",E46=""),"",B46*294+CHOOSE(MATCH(C46,{"海洋季","火焰季","大地季","黑暗季","風暴季","聖季期"},0),0,56,112,168,224,280)+E46)</x:f>
      </x:c>
    </x:row>
    <x:row r="47" ht="38" customHeight="1">
      <x:c r="A47" s="33"/>
      <x:c r="B47" s="57"/>
      <x:c r="C47" s="58"/>
      <x:c r="D47" s="26" t="str">
        <x:f>IF(C47="","",IF(C47="聖季期",CHOOSE(ROUNDUP(E47/7,0),"幸運週","命運週"),CHOOSE(ROUNDUP(E47/7,0),"混亂週","和諧週","死亡週","豐饒週","停滯週","運動週","幻象週","真理週")))</x:f>
      </x:c>
      <x:c r="E47" s="57"/>
      <x:c r="F47" s="26" t="str">
        <x:f>IF(E47="","",CHOOSE(MOD(E47-1,7)+1,"寒霜日","流水日","泥土日","風暴日","火焰日","狂野日","眾神日"))</x:f>
      </x:c>
      <x:c r="G47" s="26" t="str">
        <x:f>IF(OR(B47="",C47="",E47=""),"",B47&amp;" S.T. · "&amp;C47&amp;" · "&amp;D47&amp;" · "&amp;F47)</x:f>
      </x:c>
      <x:c r="H47" s="28"/>
      <x:c r="I47" s="58"/>
      <x:c r="J47" s="28"/>
      <x:c r="K47" s="28"/>
      <x:c r="L47" s="28"/>
      <x:c r="M47" s="28"/>
      <x:c r="N47" s="28"/>
      <x:c r="O47" s="28"/>
      <x:c r="P47" s="58"/>
      <x:c r="Q47" s="28"/>
      <x:c r="R47" s="33" t="str">
        <x:f>IF(OR(B47="",C47="",E47=""),"",B47*294+CHOOSE(MATCH(C47,{"海洋季","火焰季","大地季","黑暗季","風暴季","聖季期"},0),0,56,112,168,224,280)+E47)</x:f>
      </x:c>
    </x:row>
    <x:row r="48" ht="38" customHeight="1">
      <x:c r="A48" s="33"/>
      <x:c r="B48" s="57"/>
      <x:c r="C48" s="58"/>
      <x:c r="D48" s="26" t="str">
        <x:f>IF(C48="","",IF(C48="聖季期",CHOOSE(ROUNDUP(E48/7,0),"幸運週","命運週"),CHOOSE(ROUNDUP(E48/7,0),"混亂週","和諧週","死亡週","豐饒週","停滯週","運動週","幻象週","真理週")))</x:f>
      </x:c>
      <x:c r="E48" s="57"/>
      <x:c r="F48" s="26" t="str">
        <x:f>IF(E48="","",CHOOSE(MOD(E48-1,7)+1,"寒霜日","流水日","泥土日","風暴日","火焰日","狂野日","眾神日"))</x:f>
      </x:c>
      <x:c r="G48" s="26" t="str">
        <x:f>IF(OR(B48="",C48="",E48=""),"",B48&amp;" S.T. · "&amp;C48&amp;" · "&amp;D48&amp;" · "&amp;F48)</x:f>
      </x:c>
      <x:c r="H48" s="28"/>
      <x:c r="I48" s="58"/>
      <x:c r="J48" s="28"/>
      <x:c r="K48" s="28"/>
      <x:c r="L48" s="28"/>
      <x:c r="M48" s="28"/>
      <x:c r="N48" s="28"/>
      <x:c r="O48" s="28"/>
      <x:c r="P48" s="58"/>
      <x:c r="Q48" s="28"/>
      <x:c r="R48" s="33" t="str">
        <x:f>IF(OR(B48="",C48="",E48=""),"",B48*294+CHOOSE(MATCH(C48,{"海洋季","火焰季","大地季","黑暗季","風暴季","聖季期"},0),0,56,112,168,224,280)+E48)</x:f>
      </x:c>
    </x:row>
    <x:row r="49" ht="38" customHeight="1">
      <x:c r="A49" s="33"/>
      <x:c r="B49" s="57"/>
      <x:c r="C49" s="58"/>
      <x:c r="D49" s="26" t="str">
        <x:f>IF(C49="","",IF(C49="聖季期",CHOOSE(ROUNDUP(E49/7,0),"幸運週","命運週"),CHOOSE(ROUNDUP(E49/7,0),"混亂週","和諧週","死亡週","豐饒週","停滯週","運動週","幻象週","真理週")))</x:f>
      </x:c>
      <x:c r="E49" s="57"/>
      <x:c r="F49" s="26" t="str">
        <x:f>IF(E49="","",CHOOSE(MOD(E49-1,7)+1,"寒霜日","流水日","泥土日","風暴日","火焰日","狂野日","眾神日"))</x:f>
      </x:c>
      <x:c r="G49" s="26" t="str">
        <x:f>IF(OR(B49="",C49="",E49=""),"",B49&amp;" S.T. · "&amp;C49&amp;" · "&amp;D49&amp;" · "&amp;F49)</x:f>
      </x:c>
      <x:c r="H49" s="28"/>
      <x:c r="I49" s="58"/>
      <x:c r="J49" s="28"/>
      <x:c r="K49" s="28"/>
      <x:c r="L49" s="28"/>
      <x:c r="M49" s="28"/>
      <x:c r="N49" s="28"/>
      <x:c r="O49" s="28"/>
      <x:c r="P49" s="58"/>
      <x:c r="Q49" s="28"/>
      <x:c r="R49" s="33" t="str">
        <x:f>IF(OR(B49="",C49="",E49=""),"",B49*294+CHOOSE(MATCH(C49,{"海洋季","火焰季","大地季","黑暗季","風暴季","聖季期"},0),0,56,112,168,224,280)+E49)</x:f>
      </x:c>
    </x:row>
    <x:row r="50" ht="38" customHeight="1">
      <x:c r="A50" s="33"/>
      <x:c r="B50" s="57"/>
      <x:c r="C50" s="58"/>
      <x:c r="D50" s="26" t="str">
        <x:f>IF(C50="","",IF(C50="聖季期",CHOOSE(ROUNDUP(E50/7,0),"幸運週","命運週"),CHOOSE(ROUNDUP(E50/7,0),"混亂週","和諧週","死亡週","豐饒週","停滯週","運動週","幻象週","真理週")))</x:f>
      </x:c>
      <x:c r="E50" s="57"/>
      <x:c r="F50" s="26" t="str">
        <x:f>IF(E50="","",CHOOSE(MOD(E50-1,7)+1,"寒霜日","流水日","泥土日","風暴日","火焰日","狂野日","眾神日"))</x:f>
      </x:c>
      <x:c r="G50" s="26" t="str">
        <x:f>IF(OR(B50="",C50="",E50=""),"",B50&amp;" S.T. · "&amp;C50&amp;" · "&amp;D50&amp;" · "&amp;F50)</x:f>
      </x:c>
      <x:c r="H50" s="28"/>
      <x:c r="I50" s="58"/>
      <x:c r="J50" s="28"/>
      <x:c r="K50" s="28"/>
      <x:c r="L50" s="28"/>
      <x:c r="M50" s="28"/>
      <x:c r="N50" s="28"/>
      <x:c r="O50" s="28"/>
      <x:c r="P50" s="58"/>
      <x:c r="Q50" s="28"/>
      <x:c r="R50" s="33" t="str">
        <x:f>IF(OR(B50="",C50="",E50=""),"",B50*294+CHOOSE(MATCH(C50,{"海洋季","火焰季","大地季","黑暗季","風暴季","聖季期"},0),0,56,112,168,224,280)+E50)</x:f>
      </x:c>
    </x:row>
    <x:row r="51" ht="38" customHeight="1">
      <x:c r="A51" s="33"/>
      <x:c r="B51" s="57"/>
      <x:c r="C51" s="58"/>
      <x:c r="D51" s="26" t="str">
        <x:f>IF(C51="","",IF(C51="聖季期",CHOOSE(ROUNDUP(E51/7,0),"幸運週","命運週"),CHOOSE(ROUNDUP(E51/7,0),"混亂週","和諧週","死亡週","豐饒週","停滯週","運動週","幻象週","真理週")))</x:f>
      </x:c>
      <x:c r="E51" s="57"/>
      <x:c r="F51" s="26" t="str">
        <x:f>IF(E51="","",CHOOSE(MOD(E51-1,7)+1,"寒霜日","流水日","泥土日","風暴日","火焰日","狂野日","眾神日"))</x:f>
      </x:c>
      <x:c r="G51" s="26" t="str">
        <x:f>IF(OR(B51="",C51="",E51=""),"",B51&amp;" S.T. · "&amp;C51&amp;" · "&amp;D51&amp;" · "&amp;F51)</x:f>
      </x:c>
      <x:c r="H51" s="28"/>
      <x:c r="I51" s="58"/>
      <x:c r="J51" s="28"/>
      <x:c r="K51" s="28"/>
      <x:c r="L51" s="28"/>
      <x:c r="M51" s="28"/>
      <x:c r="N51" s="28"/>
      <x:c r="O51" s="28"/>
      <x:c r="P51" s="58"/>
      <x:c r="Q51" s="28"/>
      <x:c r="R51" s="33" t="str">
        <x:f>IF(OR(B51="",C51="",E51=""),"",B51*294+CHOOSE(MATCH(C51,{"海洋季","火焰季","大地季","黑暗季","風暴季","聖季期"},0),0,56,112,168,224,280)+E51)</x:f>
      </x:c>
    </x:row>
    <x:row r="52" ht="38" customHeight="1">
      <x:c r="A52" s="33"/>
      <x:c r="B52" s="57"/>
      <x:c r="C52" s="58"/>
      <x:c r="D52" s="26" t="str">
        <x:f>IF(C52="","",IF(C52="聖季期",CHOOSE(ROUNDUP(E52/7,0),"幸運週","命運週"),CHOOSE(ROUNDUP(E52/7,0),"混亂週","和諧週","死亡週","豐饒週","停滯週","運動週","幻象週","真理週")))</x:f>
      </x:c>
      <x:c r="E52" s="57"/>
      <x:c r="F52" s="26" t="str">
        <x:f>IF(E52="","",CHOOSE(MOD(E52-1,7)+1,"寒霜日","流水日","泥土日","風暴日","火焰日","狂野日","眾神日"))</x:f>
      </x:c>
      <x:c r="G52" s="26" t="str">
        <x:f>IF(OR(B52="",C52="",E52=""),"",B52&amp;" S.T. · "&amp;C52&amp;" · "&amp;D52&amp;" · "&amp;F52)</x:f>
      </x:c>
      <x:c r="H52" s="28"/>
      <x:c r="I52" s="58"/>
      <x:c r="J52" s="28"/>
      <x:c r="K52" s="28"/>
      <x:c r="L52" s="28"/>
      <x:c r="M52" s="28"/>
      <x:c r="N52" s="28"/>
      <x:c r="O52" s="28"/>
      <x:c r="P52" s="58"/>
      <x:c r="Q52" s="28"/>
      <x:c r="R52" s="33" t="str">
        <x:f>IF(OR(B52="",C52="",E52=""),"",B52*294+CHOOSE(MATCH(C52,{"海洋季","火焰季","大地季","黑暗季","風暴季","聖季期"},0),0,56,112,168,224,280)+E52)</x:f>
      </x:c>
    </x:row>
    <x:row r="53" ht="38" customHeight="1">
      <x:c r="A53" s="33"/>
      <x:c r="B53" s="57"/>
      <x:c r="C53" s="58"/>
      <x:c r="D53" s="26" t="str">
        <x:f>IF(C53="","",IF(C53="聖季期",CHOOSE(ROUNDUP(E53/7,0),"幸運週","命運週"),CHOOSE(ROUNDUP(E53/7,0),"混亂週","和諧週","死亡週","豐饒週","停滯週","運動週","幻象週","真理週")))</x:f>
      </x:c>
      <x:c r="E53" s="57"/>
      <x:c r="F53" s="26" t="str">
        <x:f>IF(E53="","",CHOOSE(MOD(E53-1,7)+1,"寒霜日","流水日","泥土日","風暴日","火焰日","狂野日","眾神日"))</x:f>
      </x:c>
      <x:c r="G53" s="26" t="str">
        <x:f>IF(OR(B53="",C53="",E53=""),"",B53&amp;" S.T. · "&amp;C53&amp;" · "&amp;D53&amp;" · "&amp;F53)</x:f>
      </x:c>
      <x:c r="H53" s="28"/>
      <x:c r="I53" s="58"/>
      <x:c r="J53" s="28"/>
      <x:c r="K53" s="28"/>
      <x:c r="L53" s="28"/>
      <x:c r="M53" s="28"/>
      <x:c r="N53" s="28"/>
      <x:c r="O53" s="28"/>
      <x:c r="P53" s="58"/>
      <x:c r="Q53" s="28"/>
      <x:c r="R53" s="33" t="str">
        <x:f>IF(OR(B53="",C53="",E53=""),"",B53*294+CHOOSE(MATCH(C53,{"海洋季","火焰季","大地季","黑暗季","風暴季","聖季期"},0),0,56,112,168,224,280)+E53)</x:f>
      </x:c>
    </x:row>
    <x:row r="54" ht="38" customHeight="1">
      <x:c r="A54" s="33"/>
      <x:c r="B54" s="57"/>
      <x:c r="C54" s="58"/>
      <x:c r="D54" s="26" t="str">
        <x:f>IF(C54="","",IF(C54="聖季期",CHOOSE(ROUNDUP(E54/7,0),"幸運週","命運週"),CHOOSE(ROUNDUP(E54/7,0),"混亂週","和諧週","死亡週","豐饒週","停滯週","運動週","幻象週","真理週")))</x:f>
      </x:c>
      <x:c r="E54" s="57"/>
      <x:c r="F54" s="26" t="str">
        <x:f>IF(E54="","",CHOOSE(MOD(E54-1,7)+1,"寒霜日","流水日","泥土日","風暴日","火焰日","狂野日","眾神日"))</x:f>
      </x:c>
      <x:c r="G54" s="26" t="str">
        <x:f>IF(OR(B54="",C54="",E54=""),"",B54&amp;" S.T. · "&amp;C54&amp;" · "&amp;D54&amp;" · "&amp;F54)</x:f>
      </x:c>
      <x:c r="H54" s="28"/>
      <x:c r="I54" s="58"/>
      <x:c r="J54" s="28"/>
      <x:c r="K54" s="28"/>
      <x:c r="L54" s="28"/>
      <x:c r="M54" s="28"/>
      <x:c r="N54" s="28"/>
      <x:c r="O54" s="28"/>
      <x:c r="P54" s="58"/>
      <x:c r="Q54" s="28"/>
      <x:c r="R54" s="33" t="str">
        <x:f>IF(OR(B54="",C54="",E54=""),"",B54*294+CHOOSE(MATCH(C54,{"海洋季","火焰季","大地季","黑暗季","風暴季","聖季期"},0),0,56,112,168,224,280)+E54)</x:f>
      </x:c>
    </x:row>
    <x:row r="55" ht="38" customHeight="1">
      <x:c r="A55" s="33"/>
      <x:c r="B55" s="57"/>
      <x:c r="C55" s="58"/>
      <x:c r="D55" s="26" t="str">
        <x:f>IF(C55="","",IF(C55="聖季期",CHOOSE(ROUNDUP(E55/7,0),"幸運週","命運週"),CHOOSE(ROUNDUP(E55/7,0),"混亂週","和諧週","死亡週","豐饒週","停滯週","運動週","幻象週","真理週")))</x:f>
      </x:c>
      <x:c r="E55" s="57"/>
      <x:c r="F55" s="26" t="str">
        <x:f>IF(E55="","",CHOOSE(MOD(E55-1,7)+1,"寒霜日","流水日","泥土日","風暴日","火焰日","狂野日","眾神日"))</x:f>
      </x:c>
      <x:c r="G55" s="26" t="str">
        <x:f>IF(OR(B55="",C55="",E55=""),"",B55&amp;" S.T. · "&amp;C55&amp;" · "&amp;D55&amp;" · "&amp;F55)</x:f>
      </x:c>
      <x:c r="H55" s="28"/>
      <x:c r="I55" s="58"/>
      <x:c r="J55" s="28"/>
      <x:c r="K55" s="28"/>
      <x:c r="L55" s="28"/>
      <x:c r="M55" s="28"/>
      <x:c r="N55" s="28"/>
      <x:c r="O55" s="28"/>
      <x:c r="P55" s="58"/>
      <x:c r="Q55" s="28"/>
      <x:c r="R55" s="33" t="str">
        <x:f>IF(OR(B55="",C55="",E55=""),"",B55*294+CHOOSE(MATCH(C55,{"海洋季","火焰季","大地季","黑暗季","風暴季","聖季期"},0),0,56,112,168,224,280)+E55)</x:f>
      </x:c>
    </x:row>
    <x:row r="56" ht="38" customHeight="1">
      <x:c r="A56" s="33"/>
      <x:c r="B56" s="57"/>
      <x:c r="C56" s="58"/>
      <x:c r="D56" s="26" t="str">
        <x:f>IF(C56="","",IF(C56="聖季期",CHOOSE(ROUNDUP(E56/7,0),"幸運週","命運週"),CHOOSE(ROUNDUP(E56/7,0),"混亂週","和諧週","死亡週","豐饒週","停滯週","運動週","幻象週","真理週")))</x:f>
      </x:c>
      <x:c r="E56" s="57"/>
      <x:c r="F56" s="26" t="str">
        <x:f>IF(E56="","",CHOOSE(MOD(E56-1,7)+1,"寒霜日","流水日","泥土日","風暴日","火焰日","狂野日","眾神日"))</x:f>
      </x:c>
      <x:c r="G56" s="26" t="str">
        <x:f>IF(OR(B56="",C56="",E56=""),"",B56&amp;" S.T. · "&amp;C56&amp;" · "&amp;D56&amp;" · "&amp;F56)</x:f>
      </x:c>
      <x:c r="H56" s="28"/>
      <x:c r="I56" s="58"/>
      <x:c r="J56" s="28"/>
      <x:c r="K56" s="28"/>
      <x:c r="L56" s="28"/>
      <x:c r="M56" s="28"/>
      <x:c r="N56" s="28"/>
      <x:c r="O56" s="28"/>
      <x:c r="P56" s="58"/>
      <x:c r="Q56" s="28"/>
      <x:c r="R56" s="33" t="str">
        <x:f>IF(OR(B56="",C56="",E56=""),"",B56*294+CHOOSE(MATCH(C56,{"海洋季","火焰季","大地季","黑暗季","風暴季","聖季期"},0),0,56,112,168,224,280)+E56)</x:f>
      </x:c>
    </x:row>
    <x:row r="57" ht="38" customHeight="1">
      <x:c r="A57" s="33"/>
      <x:c r="B57" s="57"/>
      <x:c r="C57" s="58"/>
      <x:c r="D57" s="26" t="str">
        <x:f>IF(C57="","",IF(C57="聖季期",CHOOSE(ROUNDUP(E57/7,0),"幸運週","命運週"),CHOOSE(ROUNDUP(E57/7,0),"混亂週","和諧週","死亡週","豐饒週","停滯週","運動週","幻象週","真理週")))</x:f>
      </x:c>
      <x:c r="E57" s="57"/>
      <x:c r="F57" s="26" t="str">
        <x:f>IF(E57="","",CHOOSE(MOD(E57-1,7)+1,"寒霜日","流水日","泥土日","風暴日","火焰日","狂野日","眾神日"))</x:f>
      </x:c>
      <x:c r="G57" s="26" t="str">
        <x:f>IF(OR(B57="",C57="",E57=""),"",B57&amp;" S.T. · "&amp;C57&amp;" · "&amp;D57&amp;" · "&amp;F57)</x:f>
      </x:c>
      <x:c r="H57" s="28"/>
      <x:c r="I57" s="58"/>
      <x:c r="J57" s="28"/>
      <x:c r="K57" s="28"/>
      <x:c r="L57" s="28"/>
      <x:c r="M57" s="28"/>
      <x:c r="N57" s="28"/>
      <x:c r="O57" s="28"/>
      <x:c r="P57" s="58"/>
      <x:c r="Q57" s="28"/>
      <x:c r="R57" s="33" t="str">
        <x:f>IF(OR(B57="",C57="",E57=""),"",B57*294+CHOOSE(MATCH(C57,{"海洋季","火焰季","大地季","黑暗季","風暴季","聖季期"},0),0,56,112,168,224,280)+E57)</x:f>
      </x:c>
    </x:row>
    <x:row r="58" ht="38" customHeight="1">
      <x:c r="A58" s="33"/>
      <x:c r="B58" s="57"/>
      <x:c r="C58" s="58"/>
      <x:c r="D58" s="26" t="str">
        <x:f>IF(C58="","",IF(C58="聖季期",CHOOSE(ROUNDUP(E58/7,0),"幸運週","命運週"),CHOOSE(ROUNDUP(E58/7,0),"混亂週","和諧週","死亡週","豐饒週","停滯週","運動週","幻象週","真理週")))</x:f>
      </x:c>
      <x:c r="E58" s="57"/>
      <x:c r="F58" s="26" t="str">
        <x:f>IF(E58="","",CHOOSE(MOD(E58-1,7)+1,"寒霜日","流水日","泥土日","風暴日","火焰日","狂野日","眾神日"))</x:f>
      </x:c>
      <x:c r="G58" s="26" t="str">
        <x:f>IF(OR(B58="",C58="",E58=""),"",B58&amp;" S.T. · "&amp;C58&amp;" · "&amp;D58&amp;" · "&amp;F58)</x:f>
      </x:c>
      <x:c r="H58" s="28"/>
      <x:c r="I58" s="58"/>
      <x:c r="J58" s="28"/>
      <x:c r="K58" s="28"/>
      <x:c r="L58" s="28"/>
      <x:c r="M58" s="28"/>
      <x:c r="N58" s="28"/>
      <x:c r="O58" s="28"/>
      <x:c r="P58" s="58"/>
      <x:c r="Q58" s="28"/>
      <x:c r="R58" s="33" t="str">
        <x:f>IF(OR(B58="",C58="",E58=""),"",B58*294+CHOOSE(MATCH(C58,{"海洋季","火焰季","大地季","黑暗季","風暴季","聖季期"},0),0,56,112,168,224,280)+E58)</x:f>
      </x:c>
    </x:row>
    <x:row r="59" ht="38" customHeight="1">
      <x:c r="A59" s="33"/>
      <x:c r="B59" s="57"/>
      <x:c r="C59" s="58"/>
      <x:c r="D59" s="26" t="str">
        <x:f>IF(C59="","",IF(C59="聖季期",CHOOSE(ROUNDUP(E59/7,0),"幸運週","命運週"),CHOOSE(ROUNDUP(E59/7,0),"混亂週","和諧週","死亡週","豐饒週","停滯週","運動週","幻象週","真理週")))</x:f>
      </x:c>
      <x:c r="E59" s="57"/>
      <x:c r="F59" s="26" t="str">
        <x:f>IF(E59="","",CHOOSE(MOD(E59-1,7)+1,"寒霜日","流水日","泥土日","風暴日","火焰日","狂野日","眾神日"))</x:f>
      </x:c>
      <x:c r="G59" s="26" t="str">
        <x:f>IF(OR(B59="",C59="",E59=""),"",B59&amp;" S.T. · "&amp;C59&amp;" · "&amp;D59&amp;" · "&amp;F59)</x:f>
      </x:c>
      <x:c r="H59" s="28"/>
      <x:c r="I59" s="58"/>
      <x:c r="J59" s="28"/>
      <x:c r="K59" s="28"/>
      <x:c r="L59" s="28"/>
      <x:c r="M59" s="28"/>
      <x:c r="N59" s="28"/>
      <x:c r="O59" s="28"/>
      <x:c r="P59" s="58"/>
      <x:c r="Q59" s="28"/>
      <x:c r="R59" s="33" t="str">
        <x:f>IF(OR(B59="",C59="",E59=""),"",B59*294+CHOOSE(MATCH(C59,{"海洋季","火焰季","大地季","黑暗季","風暴季","聖季期"},0),0,56,112,168,224,280)+E59)</x:f>
      </x:c>
    </x:row>
    <x:row r="60" ht="38" customHeight="1">
      <x:c r="A60" s="33"/>
      <x:c r="B60" s="57"/>
      <x:c r="C60" s="58"/>
      <x:c r="D60" s="26" t="str">
        <x:f>IF(C60="","",IF(C60="聖季期",CHOOSE(ROUNDUP(E60/7,0),"幸運週","命運週"),CHOOSE(ROUNDUP(E60/7,0),"混亂週","和諧週","死亡週","豐饒週","停滯週","運動週","幻象週","真理週")))</x:f>
      </x:c>
      <x:c r="E60" s="57"/>
      <x:c r="F60" s="26" t="str">
        <x:f>IF(E60="","",CHOOSE(MOD(E60-1,7)+1,"寒霜日","流水日","泥土日","風暴日","火焰日","狂野日","眾神日"))</x:f>
      </x:c>
      <x:c r="G60" s="26" t="str">
        <x:f>IF(OR(B60="",C60="",E60=""),"",B60&amp;" S.T. · "&amp;C60&amp;" · "&amp;D60&amp;" · "&amp;F60)</x:f>
      </x:c>
      <x:c r="H60" s="28"/>
      <x:c r="I60" s="58"/>
      <x:c r="J60" s="28"/>
      <x:c r="K60" s="28"/>
      <x:c r="L60" s="28"/>
      <x:c r="M60" s="28"/>
      <x:c r="N60" s="28"/>
      <x:c r="O60" s="28"/>
      <x:c r="P60" s="58"/>
      <x:c r="Q60" s="28"/>
      <x:c r="R60" s="33" t="str">
        <x:f>IF(OR(B60="",C60="",E60=""),"",B60*294+CHOOSE(MATCH(C60,{"海洋季","火焰季","大地季","黑暗季","風暴季","聖季期"},0),0,56,112,168,224,280)+E60)</x:f>
      </x:c>
    </x:row>
    <x:row r="61" ht="38" customHeight="1">
      <x:c r="A61" s="33"/>
      <x:c r="B61" s="57"/>
      <x:c r="C61" s="58"/>
      <x:c r="D61" s="26" t="str">
        <x:f>IF(C61="","",IF(C61="聖季期",CHOOSE(ROUNDUP(E61/7,0),"幸運週","命運週"),CHOOSE(ROUNDUP(E61/7,0),"混亂週","和諧週","死亡週","豐饒週","停滯週","運動週","幻象週","真理週")))</x:f>
      </x:c>
      <x:c r="E61" s="57"/>
      <x:c r="F61" s="26" t="str">
        <x:f>IF(E61="","",CHOOSE(MOD(E61-1,7)+1,"寒霜日","流水日","泥土日","風暴日","火焰日","狂野日","眾神日"))</x:f>
      </x:c>
      <x:c r="G61" s="26" t="str">
        <x:f>IF(OR(B61="",C61="",E61=""),"",B61&amp;" S.T. · "&amp;C61&amp;" · "&amp;D61&amp;" · "&amp;F61)</x:f>
      </x:c>
      <x:c r="H61" s="28"/>
      <x:c r="I61" s="58"/>
      <x:c r="J61" s="28"/>
      <x:c r="K61" s="28"/>
      <x:c r="L61" s="28"/>
      <x:c r="M61" s="28"/>
      <x:c r="N61" s="28"/>
      <x:c r="O61" s="28"/>
      <x:c r="P61" s="58"/>
      <x:c r="Q61" s="28"/>
      <x:c r="R61" s="33" t="str">
        <x:f>IF(OR(B61="",C61="",E61=""),"",B61*294+CHOOSE(MATCH(C61,{"海洋季","火焰季","大地季","黑暗季","風暴季","聖季期"},0),0,56,112,168,224,280)+E61)</x:f>
      </x:c>
    </x:row>
    <x:row r="62" ht="38" customHeight="1">
      <x:c r="A62" s="33"/>
      <x:c r="B62" s="57"/>
      <x:c r="C62" s="58"/>
      <x:c r="D62" s="26" t="str">
        <x:f>IF(C62="","",IF(C62="聖季期",CHOOSE(ROUNDUP(E62/7,0),"幸運週","命運週"),CHOOSE(ROUNDUP(E62/7,0),"混亂週","和諧週","死亡週","豐饒週","停滯週","運動週","幻象週","真理週")))</x:f>
      </x:c>
      <x:c r="E62" s="57"/>
      <x:c r="F62" s="26" t="str">
        <x:f>IF(E62="","",CHOOSE(MOD(E62-1,7)+1,"寒霜日","流水日","泥土日","風暴日","火焰日","狂野日","眾神日"))</x:f>
      </x:c>
      <x:c r="G62" s="26" t="str">
        <x:f>IF(OR(B62="",C62="",E62=""),"",B62&amp;" S.T. · "&amp;C62&amp;" · "&amp;D62&amp;" · "&amp;F62)</x:f>
      </x:c>
      <x:c r="H62" s="28"/>
      <x:c r="I62" s="58"/>
      <x:c r="J62" s="28"/>
      <x:c r="K62" s="28"/>
      <x:c r="L62" s="28"/>
      <x:c r="M62" s="28"/>
      <x:c r="N62" s="28"/>
      <x:c r="O62" s="28"/>
      <x:c r="P62" s="58"/>
      <x:c r="Q62" s="28"/>
      <x:c r="R62" s="33" t="str">
        <x:f>IF(OR(B62="",C62="",E62=""),"",B62*294+CHOOSE(MATCH(C62,{"海洋季","火焰季","大地季","黑暗季","風暴季","聖季期"},0),0,56,112,168,224,280)+E62)</x:f>
      </x:c>
    </x:row>
    <x:row r="63" ht="38" customHeight="1">
      <x:c r="A63" s="33"/>
      <x:c r="B63" s="57"/>
      <x:c r="C63" s="58"/>
      <x:c r="D63" s="26" t="str">
        <x:f>IF(C63="","",IF(C63="聖季期",CHOOSE(ROUNDUP(E63/7,0),"幸運週","命運週"),CHOOSE(ROUNDUP(E63/7,0),"混亂週","和諧週","死亡週","豐饒週","停滯週","運動週","幻象週","真理週")))</x:f>
      </x:c>
      <x:c r="E63" s="57"/>
      <x:c r="F63" s="26" t="str">
        <x:f>IF(E63="","",CHOOSE(MOD(E63-1,7)+1,"寒霜日","流水日","泥土日","風暴日","火焰日","狂野日","眾神日"))</x:f>
      </x:c>
      <x:c r="G63" s="26" t="str">
        <x:f>IF(OR(B63="",C63="",E63=""),"",B63&amp;" S.T. · "&amp;C63&amp;" · "&amp;D63&amp;" · "&amp;F63)</x:f>
      </x:c>
      <x:c r="H63" s="28"/>
      <x:c r="I63" s="58"/>
      <x:c r="J63" s="28"/>
      <x:c r="K63" s="28"/>
      <x:c r="L63" s="28"/>
      <x:c r="M63" s="28"/>
      <x:c r="N63" s="28"/>
      <x:c r="O63" s="28"/>
      <x:c r="P63" s="58"/>
      <x:c r="Q63" s="28"/>
      <x:c r="R63" s="33" t="str">
        <x:f>IF(OR(B63="",C63="",E63=""),"",B63*294+CHOOSE(MATCH(C63,{"海洋季","火焰季","大地季","黑暗季","風暴季","聖季期"},0),0,56,112,168,224,280)+E63)</x:f>
      </x:c>
    </x:row>
    <x:row r="64" ht="38" customHeight="1">
      <x:c r="A64" s="33"/>
      <x:c r="B64" s="57"/>
      <x:c r="C64" s="58"/>
      <x:c r="D64" s="26" t="str">
        <x:f>IF(C64="","",IF(C64="聖季期",CHOOSE(ROUNDUP(E64/7,0),"幸運週","命運週"),CHOOSE(ROUNDUP(E64/7,0),"混亂週","和諧週","死亡週","豐饒週","停滯週","運動週","幻象週","真理週")))</x:f>
      </x:c>
      <x:c r="E64" s="57"/>
      <x:c r="F64" s="26" t="str">
        <x:f>IF(E64="","",CHOOSE(MOD(E64-1,7)+1,"寒霜日","流水日","泥土日","風暴日","火焰日","狂野日","眾神日"))</x:f>
      </x:c>
      <x:c r="G64" s="26" t="str">
        <x:f>IF(OR(B64="",C64="",E64=""),"",B64&amp;" S.T. · "&amp;C64&amp;" · "&amp;D64&amp;" · "&amp;F64)</x:f>
      </x:c>
      <x:c r="H64" s="28"/>
      <x:c r="I64" s="58"/>
      <x:c r="J64" s="28"/>
      <x:c r="K64" s="28"/>
      <x:c r="L64" s="28"/>
      <x:c r="M64" s="28"/>
      <x:c r="N64" s="28"/>
      <x:c r="O64" s="28"/>
      <x:c r="P64" s="58"/>
      <x:c r="Q64" s="28"/>
      <x:c r="R64" s="33" t="str">
        <x:f>IF(OR(B64="",C64="",E64=""),"",B64*294+CHOOSE(MATCH(C64,{"海洋季","火焰季","大地季","黑暗季","風暴季","聖季期"},0),0,56,112,168,224,280)+E64)</x:f>
      </x:c>
    </x:row>
    <x:row r="65" ht="38" customHeight="1">
      <x:c r="A65" s="33"/>
      <x:c r="B65" s="57"/>
      <x:c r="C65" s="58"/>
      <x:c r="D65" s="26" t="str">
        <x:f>IF(C65="","",IF(C65="聖季期",CHOOSE(ROUNDUP(E65/7,0),"幸運週","命運週"),CHOOSE(ROUNDUP(E65/7,0),"混亂週","和諧週","死亡週","豐饒週","停滯週","運動週","幻象週","真理週")))</x:f>
      </x:c>
      <x:c r="E65" s="57"/>
      <x:c r="F65" s="26" t="str">
        <x:f>IF(E65="","",CHOOSE(MOD(E65-1,7)+1,"寒霜日","流水日","泥土日","風暴日","火焰日","狂野日","眾神日"))</x:f>
      </x:c>
      <x:c r="G65" s="26" t="str">
        <x:f>IF(OR(B65="",C65="",E65=""),"",B65&amp;" S.T. · "&amp;C65&amp;" · "&amp;D65&amp;" · "&amp;F65)</x:f>
      </x:c>
      <x:c r="H65" s="28"/>
      <x:c r="I65" s="58"/>
      <x:c r="J65" s="28"/>
      <x:c r="K65" s="28"/>
      <x:c r="L65" s="28"/>
      <x:c r="M65" s="28"/>
      <x:c r="N65" s="28"/>
      <x:c r="O65" s="28"/>
      <x:c r="P65" s="58"/>
      <x:c r="Q65" s="28"/>
      <x:c r="R65" s="33" t="str">
        <x:f>IF(OR(B65="",C65="",E65=""),"",B65*294+CHOOSE(MATCH(C65,{"海洋季","火焰季","大地季","黑暗季","風暴季","聖季期"},0),0,56,112,168,224,280)+E65)</x:f>
      </x:c>
    </x:row>
    <x:row r="66" ht="38" customHeight="1">
      <x:c r="A66" s="33"/>
      <x:c r="B66" s="57"/>
      <x:c r="C66" s="58"/>
      <x:c r="D66" s="26" t="str">
        <x:f>IF(C66="","",IF(C66="聖季期",CHOOSE(ROUNDUP(E66/7,0),"幸運週","命運週"),CHOOSE(ROUNDUP(E66/7,0),"混亂週","和諧週","死亡週","豐饒週","停滯週","運動週","幻象週","真理週")))</x:f>
      </x:c>
      <x:c r="E66" s="57"/>
      <x:c r="F66" s="26" t="str">
        <x:f>IF(E66="","",CHOOSE(MOD(E66-1,7)+1,"寒霜日","流水日","泥土日","風暴日","火焰日","狂野日","眾神日"))</x:f>
      </x:c>
      <x:c r="G66" s="26" t="str">
        <x:f>IF(OR(B66="",C66="",E66=""),"",B66&amp;" S.T. · "&amp;C66&amp;" · "&amp;D66&amp;" · "&amp;F66)</x:f>
      </x:c>
      <x:c r="H66" s="28"/>
      <x:c r="I66" s="58"/>
      <x:c r="J66" s="28"/>
      <x:c r="K66" s="28"/>
      <x:c r="L66" s="28"/>
      <x:c r="M66" s="28"/>
      <x:c r="N66" s="28"/>
      <x:c r="O66" s="28"/>
      <x:c r="P66" s="58"/>
      <x:c r="Q66" s="28"/>
      <x:c r="R66" s="33" t="str">
        <x:f>IF(OR(B66="",C66="",E66=""),"",B66*294+CHOOSE(MATCH(C66,{"海洋季","火焰季","大地季","黑暗季","風暴季","聖季期"},0),0,56,112,168,224,280)+E66)</x:f>
      </x:c>
    </x:row>
    <x:row r="67" ht="38" customHeight="1">
      <x:c r="A67" s="33"/>
      <x:c r="B67" s="57"/>
      <x:c r="C67" s="58"/>
      <x:c r="D67" s="26" t="str">
        <x:f>IF(C67="","",IF(C67="聖季期",CHOOSE(ROUNDUP(E67/7,0),"幸運週","命運週"),CHOOSE(ROUNDUP(E67/7,0),"混亂週","和諧週","死亡週","豐饒週","停滯週","運動週","幻象週","真理週")))</x:f>
      </x:c>
      <x:c r="E67" s="57"/>
      <x:c r="F67" s="26" t="str">
        <x:f>IF(E67="","",CHOOSE(MOD(E67-1,7)+1,"寒霜日","流水日","泥土日","風暴日","火焰日","狂野日","眾神日"))</x:f>
      </x:c>
      <x:c r="G67" s="26" t="str">
        <x:f>IF(OR(B67="",C67="",E67=""),"",B67&amp;" S.T. · "&amp;C67&amp;" · "&amp;D67&amp;" · "&amp;F67)</x:f>
      </x:c>
      <x:c r="H67" s="28"/>
      <x:c r="I67" s="58"/>
      <x:c r="J67" s="28"/>
      <x:c r="K67" s="28"/>
      <x:c r="L67" s="28"/>
      <x:c r="M67" s="28"/>
      <x:c r="N67" s="28"/>
      <x:c r="O67" s="28"/>
      <x:c r="P67" s="58"/>
      <x:c r="Q67" s="28"/>
      <x:c r="R67" s="33" t="str">
        <x:f>IF(OR(B67="",C67="",E67=""),"",B67*294+CHOOSE(MATCH(C67,{"海洋季","火焰季","大地季","黑暗季","風暴季","聖季期"},0),0,56,112,168,224,280)+E67)</x:f>
      </x:c>
    </x:row>
    <x:row r="68" ht="38" customHeight="1">
      <x:c r="A68" s="33"/>
      <x:c r="B68" s="57"/>
      <x:c r="C68" s="58"/>
      <x:c r="D68" s="26" t="str">
        <x:f>IF(C68="","",IF(C68="聖季期",CHOOSE(ROUNDUP(E68/7,0),"幸運週","命運週"),CHOOSE(ROUNDUP(E68/7,0),"混亂週","和諧週","死亡週","豐饒週","停滯週","運動週","幻象週","真理週")))</x:f>
      </x:c>
      <x:c r="E68" s="57"/>
      <x:c r="F68" s="26" t="str">
        <x:f>IF(E68="","",CHOOSE(MOD(E68-1,7)+1,"寒霜日","流水日","泥土日","風暴日","火焰日","狂野日","眾神日"))</x:f>
      </x:c>
      <x:c r="G68" s="26" t="str">
        <x:f>IF(OR(B68="",C68="",E68=""),"",B68&amp;" S.T. · "&amp;C68&amp;" · "&amp;D68&amp;" · "&amp;F68)</x:f>
      </x:c>
      <x:c r="H68" s="28"/>
      <x:c r="I68" s="58"/>
      <x:c r="J68" s="28"/>
      <x:c r="K68" s="28"/>
      <x:c r="L68" s="28"/>
      <x:c r="M68" s="28"/>
      <x:c r="N68" s="28"/>
      <x:c r="O68" s="28"/>
      <x:c r="P68" s="58"/>
      <x:c r="Q68" s="28"/>
      <x:c r="R68" s="33" t="str">
        <x:f>IF(OR(B68="",C68="",E68=""),"",B68*294+CHOOSE(MATCH(C68,{"海洋季","火焰季","大地季","黑暗季","風暴季","聖季期"},0),0,56,112,168,224,280)+E68)</x:f>
      </x:c>
    </x:row>
    <x:row r="69" ht="38" customHeight="1">
      <x:c r="A69" s="33"/>
      <x:c r="B69" s="57"/>
      <x:c r="C69" s="58"/>
      <x:c r="D69" s="26" t="str">
        <x:f>IF(C69="","",IF(C69="聖季期",CHOOSE(ROUNDUP(E69/7,0),"幸運週","命運週"),CHOOSE(ROUNDUP(E69/7,0),"混亂週","和諧週","死亡週","豐饒週","停滯週","運動週","幻象週","真理週")))</x:f>
      </x:c>
      <x:c r="E69" s="57"/>
      <x:c r="F69" s="26" t="str">
        <x:f>IF(E69="","",CHOOSE(MOD(E69-1,7)+1,"寒霜日","流水日","泥土日","風暴日","火焰日","狂野日","眾神日"))</x:f>
      </x:c>
      <x:c r="G69" s="26" t="str">
        <x:f>IF(OR(B69="",C69="",E69=""),"",B69&amp;" S.T. · "&amp;C69&amp;" · "&amp;D69&amp;" · "&amp;F69)</x:f>
      </x:c>
      <x:c r="H69" s="28"/>
      <x:c r="I69" s="58"/>
      <x:c r="J69" s="28"/>
      <x:c r="K69" s="28"/>
      <x:c r="L69" s="28"/>
      <x:c r="M69" s="28"/>
      <x:c r="N69" s="28"/>
      <x:c r="O69" s="28"/>
      <x:c r="P69" s="58"/>
      <x:c r="Q69" s="28"/>
      <x:c r="R69" s="33" t="str">
        <x:f>IF(OR(B69="",C69="",E69=""),"",B69*294+CHOOSE(MATCH(C69,{"海洋季","火焰季","大地季","黑暗季","風暴季","聖季期"},0),0,56,112,168,224,280)+E69)</x:f>
      </x:c>
    </x:row>
    <x:row r="70" ht="38" customHeight="1">
      <x:c r="A70" s="33"/>
      <x:c r="B70" s="57"/>
      <x:c r="C70" s="58"/>
      <x:c r="D70" s="26" t="str">
        <x:f>IF(C70="","",IF(C70="聖季期",CHOOSE(ROUNDUP(E70/7,0),"幸運週","命運週"),CHOOSE(ROUNDUP(E70/7,0),"混亂週","和諧週","死亡週","豐饒週","停滯週","運動週","幻象週","真理週")))</x:f>
      </x:c>
      <x:c r="E70" s="57"/>
      <x:c r="F70" s="26" t="str">
        <x:f>IF(E70="","",CHOOSE(MOD(E70-1,7)+1,"寒霜日","流水日","泥土日","風暴日","火焰日","狂野日","眾神日"))</x:f>
      </x:c>
      <x:c r="G70" s="26" t="str">
        <x:f>IF(OR(B70="",C70="",E70=""),"",B70&amp;" S.T. · "&amp;C70&amp;" · "&amp;D70&amp;" · "&amp;F70)</x:f>
      </x:c>
      <x:c r="H70" s="28"/>
      <x:c r="I70" s="58"/>
      <x:c r="J70" s="28"/>
      <x:c r="K70" s="28"/>
      <x:c r="L70" s="28"/>
      <x:c r="M70" s="28"/>
      <x:c r="N70" s="28"/>
      <x:c r="O70" s="28"/>
      <x:c r="P70" s="58"/>
      <x:c r="Q70" s="28"/>
      <x:c r="R70" s="33" t="str">
        <x:f>IF(OR(B70="",C70="",E70=""),"",B70*294+CHOOSE(MATCH(C70,{"海洋季","火焰季","大地季","黑暗季","風暴季","聖季期"},0),0,56,112,168,224,280)+E70)</x:f>
      </x:c>
    </x:row>
    <x:row r="71" ht="38" customHeight="1">
      <x:c r="A71" s="33"/>
      <x:c r="B71" s="57"/>
      <x:c r="C71" s="58"/>
      <x:c r="D71" s="26" t="str">
        <x:f>IF(C71="","",IF(C71="聖季期",CHOOSE(ROUNDUP(E71/7,0),"幸運週","命運週"),CHOOSE(ROUNDUP(E71/7,0),"混亂週","和諧週","死亡週","豐饒週","停滯週","運動週","幻象週","真理週")))</x:f>
      </x:c>
      <x:c r="E71" s="57"/>
      <x:c r="F71" s="26" t="str">
        <x:f>IF(E71="","",CHOOSE(MOD(E71-1,7)+1,"寒霜日","流水日","泥土日","風暴日","火焰日","狂野日","眾神日"))</x:f>
      </x:c>
      <x:c r="G71" s="26" t="str">
        <x:f>IF(OR(B71="",C71="",E71=""),"",B71&amp;" S.T. · "&amp;C71&amp;" · "&amp;D71&amp;" · "&amp;F71)</x:f>
      </x:c>
      <x:c r="H71" s="28"/>
      <x:c r="I71" s="58"/>
      <x:c r="J71" s="28"/>
      <x:c r="K71" s="28"/>
      <x:c r="L71" s="28"/>
      <x:c r="M71" s="28"/>
      <x:c r="N71" s="28"/>
      <x:c r="O71" s="28"/>
      <x:c r="P71" s="58"/>
      <x:c r="Q71" s="28"/>
      <x:c r="R71" s="33" t="str">
        <x:f>IF(OR(B71="",C71="",E71=""),"",B71*294+CHOOSE(MATCH(C71,{"海洋季","火焰季","大地季","黑暗季","風暴季","聖季期"},0),0,56,112,168,224,280)+E71)</x:f>
      </x:c>
    </x:row>
    <x:row r="72" ht="38" customHeight="1">
      <x:c r="A72" s="33"/>
      <x:c r="B72" s="57"/>
      <x:c r="C72" s="58"/>
      <x:c r="D72" s="26" t="str">
        <x:f>IF(C72="","",IF(C72="聖季期",CHOOSE(ROUNDUP(E72/7,0),"幸運週","命運週"),CHOOSE(ROUNDUP(E72/7,0),"混亂週","和諧週","死亡週","豐饒週","停滯週","運動週","幻象週","真理週")))</x:f>
      </x:c>
      <x:c r="E72" s="57"/>
      <x:c r="F72" s="26" t="str">
        <x:f>IF(E72="","",CHOOSE(MOD(E72-1,7)+1,"寒霜日","流水日","泥土日","風暴日","火焰日","狂野日","眾神日"))</x:f>
      </x:c>
      <x:c r="G72" s="26" t="str">
        <x:f>IF(OR(B72="",C72="",E72=""),"",B72&amp;" S.T. · "&amp;C72&amp;" · "&amp;D72&amp;" · "&amp;F72)</x:f>
      </x:c>
      <x:c r="H72" s="28"/>
      <x:c r="I72" s="58"/>
      <x:c r="J72" s="28"/>
      <x:c r="K72" s="28"/>
      <x:c r="L72" s="28"/>
      <x:c r="M72" s="28"/>
      <x:c r="N72" s="28"/>
      <x:c r="O72" s="28"/>
      <x:c r="P72" s="58"/>
      <x:c r="Q72" s="28"/>
      <x:c r="R72" s="33" t="str">
        <x:f>IF(OR(B72="",C72="",E72=""),"",B72*294+CHOOSE(MATCH(C72,{"海洋季","火焰季","大地季","黑暗季","風暴季","聖季期"},0),0,56,112,168,224,280)+E72)</x:f>
      </x:c>
    </x:row>
    <x:row r="73" ht="38" customHeight="1">
      <x:c r="A73" s="33"/>
      <x:c r="B73" s="57"/>
      <x:c r="C73" s="58"/>
      <x:c r="D73" s="26" t="str">
        <x:f>IF(C73="","",IF(C73="聖季期",CHOOSE(ROUNDUP(E73/7,0),"幸運週","命運週"),CHOOSE(ROUNDUP(E73/7,0),"混亂週","和諧週","死亡週","豐饒週","停滯週","運動週","幻象週","真理週")))</x:f>
      </x:c>
      <x:c r="E73" s="57"/>
      <x:c r="F73" s="26" t="str">
        <x:f>IF(E73="","",CHOOSE(MOD(E73-1,7)+1,"寒霜日","流水日","泥土日","風暴日","火焰日","狂野日","眾神日"))</x:f>
      </x:c>
      <x:c r="G73" s="26" t="str">
        <x:f>IF(OR(B73="",C73="",E73=""),"",B73&amp;" S.T. · "&amp;C73&amp;" · "&amp;D73&amp;" · "&amp;F73)</x:f>
      </x:c>
      <x:c r="H73" s="28"/>
      <x:c r="I73" s="58"/>
      <x:c r="J73" s="28"/>
      <x:c r="K73" s="28"/>
      <x:c r="L73" s="28"/>
      <x:c r="M73" s="28"/>
      <x:c r="N73" s="28"/>
      <x:c r="O73" s="28"/>
      <x:c r="P73" s="58"/>
      <x:c r="Q73" s="28"/>
      <x:c r="R73" s="33" t="str">
        <x:f>IF(OR(B73="",C73="",E73=""),"",B73*294+CHOOSE(MATCH(C73,{"海洋季","火焰季","大地季","黑暗季","風暴季","聖季期"},0),0,56,112,168,224,280)+E73)</x:f>
      </x:c>
    </x:row>
    <x:row r="74" ht="38" customHeight="1">
      <x:c r="A74" s="33"/>
      <x:c r="B74" s="57"/>
      <x:c r="C74" s="58"/>
      <x:c r="D74" s="26" t="str">
        <x:f>IF(C74="","",IF(C74="聖季期",CHOOSE(ROUNDUP(E74/7,0),"幸運週","命運週"),CHOOSE(ROUNDUP(E74/7,0),"混亂週","和諧週","死亡週","豐饒週","停滯週","運動週","幻象週","真理週")))</x:f>
      </x:c>
      <x:c r="E74" s="57"/>
      <x:c r="F74" s="26" t="str">
        <x:f>IF(E74="","",CHOOSE(MOD(E74-1,7)+1,"寒霜日","流水日","泥土日","風暴日","火焰日","狂野日","眾神日"))</x:f>
      </x:c>
      <x:c r="G74" s="26" t="str">
        <x:f>IF(OR(B74="",C74="",E74=""),"",B74&amp;" S.T. · "&amp;C74&amp;" · "&amp;D74&amp;" · "&amp;F74)</x:f>
      </x:c>
      <x:c r="H74" s="28"/>
      <x:c r="I74" s="58"/>
      <x:c r="J74" s="28"/>
      <x:c r="K74" s="28"/>
      <x:c r="L74" s="28"/>
      <x:c r="M74" s="28"/>
      <x:c r="N74" s="28"/>
      <x:c r="O74" s="28"/>
      <x:c r="P74" s="58"/>
      <x:c r="Q74" s="28"/>
      <x:c r="R74" s="33" t="str">
        <x:f>IF(OR(B74="",C74="",E74=""),"",B74*294+CHOOSE(MATCH(C74,{"海洋季","火焰季","大地季","黑暗季","風暴季","聖季期"},0),0,56,112,168,224,280)+E74)</x:f>
      </x:c>
    </x:row>
    <x:row r="75" ht="38" customHeight="1">
      <x:c r="A75" s="33"/>
      <x:c r="B75" s="57"/>
      <x:c r="C75" s="58"/>
      <x:c r="D75" s="26" t="str">
        <x:f>IF(C75="","",IF(C75="聖季期",CHOOSE(ROUNDUP(E75/7,0),"幸運週","命運週"),CHOOSE(ROUNDUP(E75/7,0),"混亂週","和諧週","死亡週","豐饒週","停滯週","運動週","幻象週","真理週")))</x:f>
      </x:c>
      <x:c r="E75" s="57"/>
      <x:c r="F75" s="26" t="str">
        <x:f>IF(E75="","",CHOOSE(MOD(E75-1,7)+1,"寒霜日","流水日","泥土日","風暴日","火焰日","狂野日","眾神日"))</x:f>
      </x:c>
      <x:c r="G75" s="26" t="str">
        <x:f>IF(OR(B75="",C75="",E75=""),"",B75&amp;" S.T. · "&amp;C75&amp;" · "&amp;D75&amp;" · "&amp;F75)</x:f>
      </x:c>
      <x:c r="H75" s="28"/>
      <x:c r="I75" s="58"/>
      <x:c r="J75" s="28"/>
      <x:c r="K75" s="28"/>
      <x:c r="L75" s="28"/>
      <x:c r="M75" s="28"/>
      <x:c r="N75" s="28"/>
      <x:c r="O75" s="28"/>
      <x:c r="P75" s="58"/>
      <x:c r="Q75" s="28"/>
      <x:c r="R75" s="33" t="str">
        <x:f>IF(OR(B75="",C75="",E75=""),"",B75*294+CHOOSE(MATCH(C75,{"海洋季","火焰季","大地季","黑暗季","風暴季","聖季期"},0),0,56,112,168,224,280)+E75)</x:f>
      </x:c>
    </x:row>
    <x:row r="76" ht="38" customHeight="1">
      <x:c r="A76" s="33"/>
      <x:c r="B76" s="57"/>
      <x:c r="C76" s="58"/>
      <x:c r="D76" s="26" t="str">
        <x:f>IF(C76="","",IF(C76="聖季期",CHOOSE(ROUNDUP(E76/7,0),"幸運週","命運週"),CHOOSE(ROUNDUP(E76/7,0),"混亂週","和諧週","死亡週","豐饒週","停滯週","運動週","幻象週","真理週")))</x:f>
      </x:c>
      <x:c r="E76" s="57"/>
      <x:c r="F76" s="26" t="str">
        <x:f>IF(E76="","",CHOOSE(MOD(E76-1,7)+1,"寒霜日","流水日","泥土日","風暴日","火焰日","狂野日","眾神日"))</x:f>
      </x:c>
      <x:c r="G76" s="26" t="str">
        <x:f>IF(OR(B76="",C76="",E76=""),"",B76&amp;" S.T. · "&amp;C76&amp;" · "&amp;D76&amp;" · "&amp;F76)</x:f>
      </x:c>
      <x:c r="H76" s="28"/>
      <x:c r="I76" s="58"/>
      <x:c r="J76" s="28"/>
      <x:c r="K76" s="28"/>
      <x:c r="L76" s="28"/>
      <x:c r="M76" s="28"/>
      <x:c r="N76" s="28"/>
      <x:c r="O76" s="28"/>
      <x:c r="P76" s="58"/>
      <x:c r="Q76" s="28"/>
      <x:c r="R76" s="33" t="str">
        <x:f>IF(OR(B76="",C76="",E76=""),"",B76*294+CHOOSE(MATCH(C76,{"海洋季","火焰季","大地季","黑暗季","風暴季","聖季期"},0),0,56,112,168,224,280)+E76)</x:f>
      </x:c>
    </x:row>
    <x:row r="77" ht="38" customHeight="1">
      <x:c r="A77" s="33"/>
      <x:c r="B77" s="57"/>
      <x:c r="C77" s="58"/>
      <x:c r="D77" s="26" t="str">
        <x:f>IF(C77="","",IF(C77="聖季期",CHOOSE(ROUNDUP(E77/7,0),"幸運週","命運週"),CHOOSE(ROUNDUP(E77/7,0),"混亂週","和諧週","死亡週","豐饒週","停滯週","運動週","幻象週","真理週")))</x:f>
      </x:c>
      <x:c r="E77" s="57"/>
      <x:c r="F77" s="26" t="str">
        <x:f>IF(E77="","",CHOOSE(MOD(E77-1,7)+1,"寒霜日","流水日","泥土日","風暴日","火焰日","狂野日","眾神日"))</x:f>
      </x:c>
      <x:c r="G77" s="26" t="str">
        <x:f>IF(OR(B77="",C77="",E77=""),"",B77&amp;" S.T. · "&amp;C77&amp;" · "&amp;D77&amp;" · "&amp;F77)</x:f>
      </x:c>
      <x:c r="H77" s="28"/>
      <x:c r="I77" s="58"/>
      <x:c r="J77" s="28"/>
      <x:c r="K77" s="28"/>
      <x:c r="L77" s="28"/>
      <x:c r="M77" s="28"/>
      <x:c r="N77" s="28"/>
      <x:c r="O77" s="28"/>
      <x:c r="P77" s="58"/>
      <x:c r="Q77" s="28"/>
      <x:c r="R77" s="33" t="str">
        <x:f>IF(OR(B77="",C77="",E77=""),"",B77*294+CHOOSE(MATCH(C77,{"海洋季","火焰季","大地季","黑暗季","風暴季","聖季期"},0),0,56,112,168,224,280)+E77)</x:f>
      </x:c>
    </x:row>
    <x:row r="78" ht="38" customHeight="1">
      <x:c r="A78" s="33"/>
      <x:c r="B78" s="57"/>
      <x:c r="C78" s="58"/>
      <x:c r="D78" s="26" t="str">
        <x:f>IF(C78="","",IF(C78="聖季期",CHOOSE(ROUNDUP(E78/7,0),"幸運週","命運週"),CHOOSE(ROUNDUP(E78/7,0),"混亂週","和諧週","死亡週","豐饒週","停滯週","運動週","幻象週","真理週")))</x:f>
      </x:c>
      <x:c r="E78" s="57"/>
      <x:c r="F78" s="26" t="str">
        <x:f>IF(E78="","",CHOOSE(MOD(E78-1,7)+1,"寒霜日","流水日","泥土日","風暴日","火焰日","狂野日","眾神日"))</x:f>
      </x:c>
      <x:c r="G78" s="26" t="str">
        <x:f>IF(OR(B78="",C78="",E78=""),"",B78&amp;" S.T. · "&amp;C78&amp;" · "&amp;D78&amp;" · "&amp;F78)</x:f>
      </x:c>
      <x:c r="H78" s="28"/>
      <x:c r="I78" s="58"/>
      <x:c r="J78" s="28"/>
      <x:c r="K78" s="28"/>
      <x:c r="L78" s="28"/>
      <x:c r="M78" s="28"/>
      <x:c r="N78" s="28"/>
      <x:c r="O78" s="28"/>
      <x:c r="P78" s="58"/>
      <x:c r="Q78" s="28"/>
      <x:c r="R78" s="33" t="str">
        <x:f>IF(OR(B78="",C78="",E78=""),"",B78*294+CHOOSE(MATCH(C78,{"海洋季","火焰季","大地季","黑暗季","風暴季","聖季期"},0),0,56,112,168,224,280)+E78)</x:f>
      </x:c>
    </x:row>
    <x:row r="79" ht="38" customHeight="1">
      <x:c r="A79" s="33"/>
      <x:c r="B79" s="57"/>
      <x:c r="C79" s="58"/>
      <x:c r="D79" s="26" t="str">
        <x:f>IF(C79="","",IF(C79="聖季期",CHOOSE(ROUNDUP(E79/7,0),"幸運週","命運週"),CHOOSE(ROUNDUP(E79/7,0),"混亂週","和諧週","死亡週","豐饒週","停滯週","運動週","幻象週","真理週")))</x:f>
      </x:c>
      <x:c r="E79" s="57"/>
      <x:c r="F79" s="26" t="str">
        <x:f>IF(E79="","",CHOOSE(MOD(E79-1,7)+1,"寒霜日","流水日","泥土日","風暴日","火焰日","狂野日","眾神日"))</x:f>
      </x:c>
      <x:c r="G79" s="26" t="str">
        <x:f>IF(OR(B79="",C79="",E79=""),"",B79&amp;" S.T. · "&amp;C79&amp;" · "&amp;D79&amp;" · "&amp;F79)</x:f>
      </x:c>
      <x:c r="H79" s="28"/>
      <x:c r="I79" s="58"/>
      <x:c r="J79" s="28"/>
      <x:c r="K79" s="28"/>
      <x:c r="L79" s="28"/>
      <x:c r="M79" s="28"/>
      <x:c r="N79" s="28"/>
      <x:c r="O79" s="28"/>
      <x:c r="P79" s="58"/>
      <x:c r="Q79" s="28"/>
      <x:c r="R79" s="33" t="str">
        <x:f>IF(OR(B79="",C79="",E79=""),"",B79*294+CHOOSE(MATCH(C79,{"海洋季","火焰季","大地季","黑暗季","風暴季","聖季期"},0),0,56,112,168,224,280)+E79)</x:f>
      </x:c>
    </x:row>
    <x:row r="80" ht="38" customHeight="1">
      <x:c r="A80" s="33"/>
      <x:c r="B80" s="57"/>
      <x:c r="C80" s="58"/>
      <x:c r="D80" s="26" t="str">
        <x:f>IF(C80="","",IF(C80="聖季期",CHOOSE(ROUNDUP(E80/7,0),"幸運週","命運週"),CHOOSE(ROUNDUP(E80/7,0),"混亂週","和諧週","死亡週","豐饒週","停滯週","運動週","幻象週","真理週")))</x:f>
      </x:c>
      <x:c r="E80" s="57"/>
      <x:c r="F80" s="26" t="str">
        <x:f>IF(E80="","",CHOOSE(MOD(E80-1,7)+1,"寒霜日","流水日","泥土日","風暴日","火焰日","狂野日","眾神日"))</x:f>
      </x:c>
      <x:c r="G80" s="26" t="str">
        <x:f>IF(OR(B80="",C80="",E80=""),"",B80&amp;" S.T. · "&amp;C80&amp;" · "&amp;D80&amp;" · "&amp;F80)</x:f>
      </x:c>
      <x:c r="H80" s="28"/>
      <x:c r="I80" s="58"/>
      <x:c r="J80" s="28"/>
      <x:c r="K80" s="28"/>
      <x:c r="L80" s="28"/>
      <x:c r="M80" s="28"/>
      <x:c r="N80" s="28"/>
      <x:c r="O80" s="28"/>
      <x:c r="P80" s="58"/>
      <x:c r="Q80" s="28"/>
      <x:c r="R80" s="33" t="str">
        <x:f>IF(OR(B80="",C80="",E80=""),"",B80*294+CHOOSE(MATCH(C80,{"海洋季","火焰季","大地季","黑暗季","風暴季","聖季期"},0),0,56,112,168,224,280)+E80)</x:f>
      </x:c>
    </x:row>
    <x:row r="81" ht="38" customHeight="1">
      <x:c r="A81" s="33"/>
      <x:c r="B81" s="57"/>
      <x:c r="C81" s="58"/>
      <x:c r="D81" s="26" t="str">
        <x:f>IF(C81="","",IF(C81="聖季期",CHOOSE(ROUNDUP(E81/7,0),"幸運週","命運週"),CHOOSE(ROUNDUP(E81/7,0),"混亂週","和諧週","死亡週","豐饒週","停滯週","運動週","幻象週","真理週")))</x:f>
      </x:c>
      <x:c r="E81" s="57"/>
      <x:c r="F81" s="26" t="str">
        <x:f>IF(E81="","",CHOOSE(MOD(E81-1,7)+1,"寒霜日","流水日","泥土日","風暴日","火焰日","狂野日","眾神日"))</x:f>
      </x:c>
      <x:c r="G81" s="26" t="str">
        <x:f>IF(OR(B81="",C81="",E81=""),"",B81&amp;" S.T. · "&amp;C81&amp;" · "&amp;D81&amp;" · "&amp;F81)</x:f>
      </x:c>
      <x:c r="H81" s="28"/>
      <x:c r="I81" s="58"/>
      <x:c r="J81" s="28"/>
      <x:c r="K81" s="28"/>
      <x:c r="L81" s="28"/>
      <x:c r="M81" s="28"/>
      <x:c r="N81" s="28"/>
      <x:c r="O81" s="28"/>
      <x:c r="P81" s="58"/>
      <x:c r="Q81" s="28"/>
      <x:c r="R81" s="33" t="str">
        <x:f>IF(OR(B81="",C81="",E81=""),"",B81*294+CHOOSE(MATCH(C81,{"海洋季","火焰季","大地季","黑暗季","風暴季","聖季期"},0),0,56,112,168,224,280)+E81)</x:f>
      </x:c>
    </x:row>
    <x:row r="82" ht="38" customHeight="1">
      <x:c r="A82" s="33"/>
      <x:c r="B82" s="57"/>
      <x:c r="C82" s="58"/>
      <x:c r="D82" s="26" t="str">
        <x:f>IF(C82="","",IF(C82="聖季期",CHOOSE(ROUNDUP(E82/7,0),"幸運週","命運週"),CHOOSE(ROUNDUP(E82/7,0),"混亂週","和諧週","死亡週","豐饒週","停滯週","運動週","幻象週","真理週")))</x:f>
      </x:c>
      <x:c r="E82" s="57"/>
      <x:c r="F82" s="26" t="str">
        <x:f>IF(E82="","",CHOOSE(MOD(E82-1,7)+1,"寒霜日","流水日","泥土日","風暴日","火焰日","狂野日","眾神日"))</x:f>
      </x:c>
      <x:c r="G82" s="26" t="str">
        <x:f>IF(OR(B82="",C82="",E82=""),"",B82&amp;" S.T. · "&amp;C82&amp;" · "&amp;D82&amp;" · "&amp;F82)</x:f>
      </x:c>
      <x:c r="H82" s="28"/>
      <x:c r="I82" s="58"/>
      <x:c r="J82" s="28"/>
      <x:c r="K82" s="28"/>
      <x:c r="L82" s="28"/>
      <x:c r="M82" s="28"/>
      <x:c r="N82" s="28"/>
      <x:c r="O82" s="28"/>
      <x:c r="P82" s="58"/>
      <x:c r="Q82" s="28"/>
      <x:c r="R82" s="33" t="str">
        <x:f>IF(OR(B82="",C82="",E82=""),"",B82*294+CHOOSE(MATCH(C82,{"海洋季","火焰季","大地季","黑暗季","風暴季","聖季期"},0),0,56,112,168,224,280)+E82)</x:f>
      </x:c>
    </x:row>
    <x:row r="83" ht="38" customHeight="1">
      <x:c r="A83" s="33"/>
      <x:c r="B83" s="57"/>
      <x:c r="C83" s="58"/>
      <x:c r="D83" s="26" t="str">
        <x:f>IF(C83="","",IF(C83="聖季期",CHOOSE(ROUNDUP(E83/7,0),"幸運週","命運週"),CHOOSE(ROUNDUP(E83/7,0),"混亂週","和諧週","死亡週","豐饒週","停滯週","運動週","幻象週","真理週")))</x:f>
      </x:c>
      <x:c r="E83" s="57"/>
      <x:c r="F83" s="26" t="str">
        <x:f>IF(E83="","",CHOOSE(MOD(E83-1,7)+1,"寒霜日","流水日","泥土日","風暴日","火焰日","狂野日","眾神日"))</x:f>
      </x:c>
      <x:c r="G83" s="26" t="str">
        <x:f>IF(OR(B83="",C83="",E83=""),"",B83&amp;" S.T. · "&amp;C83&amp;" · "&amp;D83&amp;" · "&amp;F83)</x:f>
      </x:c>
      <x:c r="H83" s="28"/>
      <x:c r="I83" s="58"/>
      <x:c r="J83" s="28"/>
      <x:c r="K83" s="28"/>
      <x:c r="L83" s="28"/>
      <x:c r="M83" s="28"/>
      <x:c r="N83" s="28"/>
      <x:c r="O83" s="28"/>
      <x:c r="P83" s="58"/>
      <x:c r="Q83" s="28"/>
      <x:c r="R83" s="33" t="str">
        <x:f>IF(OR(B83="",C83="",E83=""),"",B83*294+CHOOSE(MATCH(C83,{"海洋季","火焰季","大地季","黑暗季","風暴季","聖季期"},0),0,56,112,168,224,280)+E83)</x:f>
      </x:c>
    </x:row>
    <x:row r="84" ht="38" customHeight="1">
      <x:c r="A84" s="33"/>
      <x:c r="B84" s="57"/>
      <x:c r="C84" s="58"/>
      <x:c r="D84" s="26" t="str">
        <x:f>IF(C84="","",IF(C84="聖季期",CHOOSE(ROUNDUP(E84/7,0),"幸運週","命運週"),CHOOSE(ROUNDUP(E84/7,0),"混亂週","和諧週","死亡週","豐饒週","停滯週","運動週","幻象週","真理週")))</x:f>
      </x:c>
      <x:c r="E84" s="57"/>
      <x:c r="F84" s="26" t="str">
        <x:f>IF(E84="","",CHOOSE(MOD(E84-1,7)+1,"寒霜日","流水日","泥土日","風暴日","火焰日","狂野日","眾神日"))</x:f>
      </x:c>
      <x:c r="G84" s="26" t="str">
        <x:f>IF(OR(B84="",C84="",E84=""),"",B84&amp;" S.T. · "&amp;C84&amp;" · "&amp;D84&amp;" · "&amp;F84)</x:f>
      </x:c>
      <x:c r="H84" s="28"/>
      <x:c r="I84" s="58"/>
      <x:c r="J84" s="28"/>
      <x:c r="K84" s="28"/>
      <x:c r="L84" s="28"/>
      <x:c r="M84" s="28"/>
      <x:c r="N84" s="28"/>
      <x:c r="O84" s="28"/>
      <x:c r="P84" s="58"/>
      <x:c r="Q84" s="28"/>
      <x:c r="R84" s="33" t="str">
        <x:f>IF(OR(B84="",C84="",E84=""),"",B84*294+CHOOSE(MATCH(C84,{"海洋季","火焰季","大地季","黑暗季","風暴季","聖季期"},0),0,56,112,168,224,280)+E84)</x:f>
      </x:c>
    </x:row>
    <x:row r="85" ht="38" customHeight="1">
      <x:c r="A85" s="33"/>
      <x:c r="B85" s="57"/>
      <x:c r="C85" s="58"/>
      <x:c r="D85" s="26" t="str">
        <x:f>IF(C85="","",IF(C85="聖季期",CHOOSE(ROUNDUP(E85/7,0),"幸運週","命運週"),CHOOSE(ROUNDUP(E85/7,0),"混亂週","和諧週","死亡週","豐饒週","停滯週","運動週","幻象週","真理週")))</x:f>
      </x:c>
      <x:c r="E85" s="57"/>
      <x:c r="F85" s="26" t="str">
        <x:f>IF(E85="","",CHOOSE(MOD(E85-1,7)+1,"寒霜日","流水日","泥土日","風暴日","火焰日","狂野日","眾神日"))</x:f>
      </x:c>
      <x:c r="G85" s="26" t="str">
        <x:f>IF(OR(B85="",C85="",E85=""),"",B85&amp;" S.T. · "&amp;C85&amp;" · "&amp;D85&amp;" · "&amp;F85)</x:f>
      </x:c>
      <x:c r="H85" s="28"/>
      <x:c r="I85" s="58"/>
      <x:c r="J85" s="28"/>
      <x:c r="K85" s="28"/>
      <x:c r="L85" s="28"/>
      <x:c r="M85" s="28"/>
      <x:c r="N85" s="28"/>
      <x:c r="O85" s="28"/>
      <x:c r="P85" s="58"/>
      <x:c r="Q85" s="28"/>
      <x:c r="R85" s="33" t="str">
        <x:f>IF(OR(B85="",C85="",E85=""),"",B85*294+CHOOSE(MATCH(C85,{"海洋季","火焰季","大地季","黑暗季","風暴季","聖季期"},0),0,56,112,168,224,280)+E85)</x:f>
      </x:c>
    </x:row>
    <x:row r="86" ht="38" customHeight="1">
      <x:c r="A86" s="33"/>
      <x:c r="B86" s="57"/>
      <x:c r="C86" s="58"/>
      <x:c r="D86" s="26" t="str">
        <x:f>IF(C86="","",IF(C86="聖季期",CHOOSE(ROUNDUP(E86/7,0),"幸運週","命運週"),CHOOSE(ROUNDUP(E86/7,0),"混亂週","和諧週","死亡週","豐饒週","停滯週","運動週","幻象週","真理週")))</x:f>
      </x:c>
      <x:c r="E86" s="57"/>
      <x:c r="F86" s="26" t="str">
        <x:f>IF(E86="","",CHOOSE(MOD(E86-1,7)+1,"寒霜日","流水日","泥土日","風暴日","火焰日","狂野日","眾神日"))</x:f>
      </x:c>
      <x:c r="G86" s="26" t="str">
        <x:f>IF(OR(B86="",C86="",E86=""),"",B86&amp;" S.T. · "&amp;C86&amp;" · "&amp;D86&amp;" · "&amp;F86)</x:f>
      </x:c>
      <x:c r="H86" s="28"/>
      <x:c r="I86" s="58"/>
      <x:c r="J86" s="28"/>
      <x:c r="K86" s="28"/>
      <x:c r="L86" s="28"/>
      <x:c r="M86" s="28"/>
      <x:c r="N86" s="28"/>
      <x:c r="O86" s="28"/>
      <x:c r="P86" s="58"/>
      <x:c r="Q86" s="28"/>
      <x:c r="R86" s="33" t="str">
        <x:f>IF(OR(B86="",C86="",E86=""),"",B86*294+CHOOSE(MATCH(C86,{"海洋季","火焰季","大地季","黑暗季","風暴季","聖季期"},0),0,56,112,168,224,280)+E86)</x:f>
      </x:c>
    </x:row>
    <x:row r="87" ht="38" customHeight="1">
      <x:c r="A87" s="33"/>
      <x:c r="B87" s="57"/>
      <x:c r="C87" s="58"/>
      <x:c r="D87" s="26" t="str">
        <x:f>IF(C87="","",IF(C87="聖季期",CHOOSE(ROUNDUP(E87/7,0),"幸運週","命運週"),CHOOSE(ROUNDUP(E87/7,0),"混亂週","和諧週","死亡週","豐饒週","停滯週","運動週","幻象週","真理週")))</x:f>
      </x:c>
      <x:c r="E87" s="57"/>
      <x:c r="F87" s="26" t="str">
        <x:f>IF(E87="","",CHOOSE(MOD(E87-1,7)+1,"寒霜日","流水日","泥土日","風暴日","火焰日","狂野日","眾神日"))</x:f>
      </x:c>
      <x:c r="G87" s="26" t="str">
        <x:f>IF(OR(B87="",C87="",E87=""),"",B87&amp;" S.T. · "&amp;C87&amp;" · "&amp;D87&amp;" · "&amp;F87)</x:f>
      </x:c>
      <x:c r="H87" s="28"/>
      <x:c r="I87" s="58"/>
      <x:c r="J87" s="28"/>
      <x:c r="K87" s="28"/>
      <x:c r="L87" s="28"/>
      <x:c r="M87" s="28"/>
      <x:c r="N87" s="28"/>
      <x:c r="O87" s="28"/>
      <x:c r="P87" s="58"/>
      <x:c r="Q87" s="28"/>
      <x:c r="R87" s="33" t="str">
        <x:f>IF(OR(B87="",C87="",E87=""),"",B87*294+CHOOSE(MATCH(C87,{"海洋季","火焰季","大地季","黑暗季","風暴季","聖季期"},0),0,56,112,168,224,280)+E87)</x:f>
      </x:c>
    </x:row>
    <x:row r="88" ht="38" customHeight="1">
      <x:c r="A88" s="33"/>
      <x:c r="B88" s="57"/>
      <x:c r="C88" s="58"/>
      <x:c r="D88" s="26" t="str">
        <x:f>IF(C88="","",IF(C88="聖季期",CHOOSE(ROUNDUP(E88/7,0),"幸運週","命運週"),CHOOSE(ROUNDUP(E88/7,0),"混亂週","和諧週","死亡週","豐饒週","停滯週","運動週","幻象週","真理週")))</x:f>
      </x:c>
      <x:c r="E88" s="57"/>
      <x:c r="F88" s="26" t="str">
        <x:f>IF(E88="","",CHOOSE(MOD(E88-1,7)+1,"寒霜日","流水日","泥土日","風暴日","火焰日","狂野日","眾神日"))</x:f>
      </x:c>
      <x:c r="G88" s="26" t="str">
        <x:f>IF(OR(B88="",C88="",E88=""),"",B88&amp;" S.T. · "&amp;C88&amp;" · "&amp;D88&amp;" · "&amp;F88)</x:f>
      </x:c>
      <x:c r="H88" s="28"/>
      <x:c r="I88" s="58"/>
      <x:c r="J88" s="28"/>
      <x:c r="K88" s="28"/>
      <x:c r="L88" s="28"/>
      <x:c r="M88" s="28"/>
      <x:c r="N88" s="28"/>
      <x:c r="O88" s="28"/>
      <x:c r="P88" s="58"/>
      <x:c r="Q88" s="28"/>
      <x:c r="R88" s="33" t="str">
        <x:f>IF(OR(B88="",C88="",E88=""),"",B88*294+CHOOSE(MATCH(C88,{"海洋季","火焰季","大地季","黑暗季","風暴季","聖季期"},0),0,56,112,168,224,280)+E88)</x:f>
      </x:c>
    </x:row>
    <x:row r="89" ht="38" customHeight="1">
      <x:c r="A89" s="33"/>
      <x:c r="B89" s="57"/>
      <x:c r="C89" s="58"/>
      <x:c r="D89" s="26" t="str">
        <x:f>IF(C89="","",IF(C89="聖季期",CHOOSE(ROUNDUP(E89/7,0),"幸運週","命運週"),CHOOSE(ROUNDUP(E89/7,0),"混亂週","和諧週","死亡週","豐饒週","停滯週","運動週","幻象週","真理週")))</x:f>
      </x:c>
      <x:c r="E89" s="57"/>
      <x:c r="F89" s="26" t="str">
        <x:f>IF(E89="","",CHOOSE(MOD(E89-1,7)+1,"寒霜日","流水日","泥土日","風暴日","火焰日","狂野日","眾神日"))</x:f>
      </x:c>
      <x:c r="G89" s="26" t="str">
        <x:f>IF(OR(B89="",C89="",E89=""),"",B89&amp;" S.T. · "&amp;C89&amp;" · "&amp;D89&amp;" · "&amp;F89)</x:f>
      </x:c>
      <x:c r="H89" s="28"/>
      <x:c r="I89" s="58"/>
      <x:c r="J89" s="28"/>
      <x:c r="K89" s="28"/>
      <x:c r="L89" s="28"/>
      <x:c r="M89" s="28"/>
      <x:c r="N89" s="28"/>
      <x:c r="O89" s="28"/>
      <x:c r="P89" s="58"/>
      <x:c r="Q89" s="28"/>
      <x:c r="R89" s="33" t="str">
        <x:f>IF(OR(B89="",C89="",E89=""),"",B89*294+CHOOSE(MATCH(C89,{"海洋季","火焰季","大地季","黑暗季","風暴季","聖季期"},0),0,56,112,168,224,280)+E89)</x:f>
      </x:c>
    </x:row>
    <x:row r="90" ht="38" customHeight="1">
      <x:c r="A90" s="33"/>
      <x:c r="B90" s="57"/>
      <x:c r="C90" s="58"/>
      <x:c r="D90" s="26" t="str">
        <x:f>IF(C90="","",IF(C90="聖季期",CHOOSE(ROUNDUP(E90/7,0),"幸運週","命運週"),CHOOSE(ROUNDUP(E90/7,0),"混亂週","和諧週","死亡週","豐饒週","停滯週","運動週","幻象週","真理週")))</x:f>
      </x:c>
      <x:c r="E90" s="57"/>
      <x:c r="F90" s="26" t="str">
        <x:f>IF(E90="","",CHOOSE(MOD(E90-1,7)+1,"寒霜日","流水日","泥土日","風暴日","火焰日","狂野日","眾神日"))</x:f>
      </x:c>
      <x:c r="G90" s="26" t="str">
        <x:f>IF(OR(B90="",C90="",E90=""),"",B90&amp;" S.T. · "&amp;C90&amp;" · "&amp;D90&amp;" · "&amp;F90)</x:f>
      </x:c>
      <x:c r="H90" s="28"/>
      <x:c r="I90" s="58"/>
      <x:c r="J90" s="28"/>
      <x:c r="K90" s="28"/>
      <x:c r="L90" s="28"/>
      <x:c r="M90" s="28"/>
      <x:c r="N90" s="28"/>
      <x:c r="O90" s="28"/>
      <x:c r="P90" s="58"/>
      <x:c r="Q90" s="28"/>
      <x:c r="R90" s="33" t="str">
        <x:f>IF(OR(B90="",C90="",E90=""),"",B90*294+CHOOSE(MATCH(C90,{"海洋季","火焰季","大地季","黑暗季","風暴季","聖季期"},0),0,56,112,168,224,280)+E90)</x:f>
      </x:c>
    </x:row>
    <x:row r="91" ht="38" customHeight="1">
      <x:c r="A91" s="33"/>
      <x:c r="B91" s="57"/>
      <x:c r="C91" s="58"/>
      <x:c r="D91" s="26" t="str">
        <x:f>IF(C91="","",IF(C91="聖季期",CHOOSE(ROUNDUP(E91/7,0),"幸運週","命運週"),CHOOSE(ROUNDUP(E91/7,0),"混亂週","和諧週","死亡週","豐饒週","停滯週","運動週","幻象週","真理週")))</x:f>
      </x:c>
      <x:c r="E91" s="57"/>
      <x:c r="F91" s="26" t="str">
        <x:f>IF(E91="","",CHOOSE(MOD(E91-1,7)+1,"寒霜日","流水日","泥土日","風暴日","火焰日","狂野日","眾神日"))</x:f>
      </x:c>
      <x:c r="G91" s="26" t="str">
        <x:f>IF(OR(B91="",C91="",E91=""),"",B91&amp;" S.T. · "&amp;C91&amp;" · "&amp;D91&amp;" · "&amp;F91)</x:f>
      </x:c>
      <x:c r="H91" s="28"/>
      <x:c r="I91" s="58"/>
      <x:c r="J91" s="28"/>
      <x:c r="K91" s="28"/>
      <x:c r="L91" s="28"/>
      <x:c r="M91" s="28"/>
      <x:c r="N91" s="28"/>
      <x:c r="O91" s="28"/>
      <x:c r="P91" s="58"/>
      <x:c r="Q91" s="28"/>
      <x:c r="R91" s="33" t="str">
        <x:f>IF(OR(B91="",C91="",E91=""),"",B91*294+CHOOSE(MATCH(C91,{"海洋季","火焰季","大地季","黑暗季","風暴季","聖季期"},0),0,56,112,168,224,280)+E91)</x:f>
      </x:c>
    </x:row>
    <x:row r="92" ht="38" customHeight="1">
      <x:c r="A92" s="33"/>
      <x:c r="B92" s="57"/>
      <x:c r="C92" s="58"/>
      <x:c r="D92" s="26" t="str">
        <x:f>IF(C92="","",IF(C92="聖季期",CHOOSE(ROUNDUP(E92/7,0),"幸運週","命運週"),CHOOSE(ROUNDUP(E92/7,0),"混亂週","和諧週","死亡週","豐饒週","停滯週","運動週","幻象週","真理週")))</x:f>
      </x:c>
      <x:c r="E92" s="57"/>
      <x:c r="F92" s="26" t="str">
        <x:f>IF(E92="","",CHOOSE(MOD(E92-1,7)+1,"寒霜日","流水日","泥土日","風暴日","火焰日","狂野日","眾神日"))</x:f>
      </x:c>
      <x:c r="G92" s="26" t="str">
        <x:f>IF(OR(B92="",C92="",E92=""),"",B92&amp;" S.T. · "&amp;C92&amp;" · "&amp;D92&amp;" · "&amp;F92)</x:f>
      </x:c>
      <x:c r="H92" s="28"/>
      <x:c r="I92" s="58"/>
      <x:c r="J92" s="28"/>
      <x:c r="K92" s="28"/>
      <x:c r="L92" s="28"/>
      <x:c r="M92" s="28"/>
      <x:c r="N92" s="28"/>
      <x:c r="O92" s="28"/>
      <x:c r="P92" s="58"/>
      <x:c r="Q92" s="28"/>
      <x:c r="R92" s="33" t="str">
        <x:f>IF(OR(B92="",C92="",E92=""),"",B92*294+CHOOSE(MATCH(C92,{"海洋季","火焰季","大地季","黑暗季","風暴季","聖季期"},0),0,56,112,168,224,280)+E92)</x:f>
      </x:c>
    </x:row>
    <x:row r="93" ht="38" customHeight="1">
      <x:c r="A93" s="33"/>
      <x:c r="B93" s="57"/>
      <x:c r="C93" s="58"/>
      <x:c r="D93" s="26" t="str">
        <x:f>IF(C93="","",IF(C93="聖季期",CHOOSE(ROUNDUP(E93/7,0),"幸運週","命運週"),CHOOSE(ROUNDUP(E93/7,0),"混亂週","和諧週","死亡週","豐饒週","停滯週","運動週","幻象週","真理週")))</x:f>
      </x:c>
      <x:c r="E93" s="57"/>
      <x:c r="F93" s="26" t="str">
        <x:f>IF(E93="","",CHOOSE(MOD(E93-1,7)+1,"寒霜日","流水日","泥土日","風暴日","火焰日","狂野日","眾神日"))</x:f>
      </x:c>
      <x:c r="G93" s="26" t="str">
        <x:f>IF(OR(B93="",C93="",E93=""),"",B93&amp;" S.T. · "&amp;C93&amp;" · "&amp;D93&amp;" · "&amp;F93)</x:f>
      </x:c>
      <x:c r="H93" s="28"/>
      <x:c r="I93" s="58"/>
      <x:c r="J93" s="28"/>
      <x:c r="K93" s="28"/>
      <x:c r="L93" s="28"/>
      <x:c r="M93" s="28"/>
      <x:c r="N93" s="28"/>
      <x:c r="O93" s="28"/>
      <x:c r="P93" s="58"/>
      <x:c r="Q93" s="28"/>
      <x:c r="R93" s="33" t="str">
        <x:f>IF(OR(B93="",C93="",E93=""),"",B93*294+CHOOSE(MATCH(C93,{"海洋季","火焰季","大地季","黑暗季","風暴季","聖季期"},0),0,56,112,168,224,280)+E93)</x:f>
      </x:c>
    </x:row>
    <x:row r="94" ht="38" customHeight="1">
      <x:c r="A94" s="33"/>
      <x:c r="B94" s="57"/>
      <x:c r="C94" s="58"/>
      <x:c r="D94" s="26" t="str">
        <x:f>IF(C94="","",IF(C94="聖季期",CHOOSE(ROUNDUP(E94/7,0),"幸運週","命運週"),CHOOSE(ROUNDUP(E94/7,0),"混亂週","和諧週","死亡週","豐饒週","停滯週","運動週","幻象週","真理週")))</x:f>
      </x:c>
      <x:c r="E94" s="57"/>
      <x:c r="F94" s="26" t="str">
        <x:f>IF(E94="","",CHOOSE(MOD(E94-1,7)+1,"寒霜日","流水日","泥土日","風暴日","火焰日","狂野日","眾神日"))</x:f>
      </x:c>
      <x:c r="G94" s="26" t="str">
        <x:f>IF(OR(B94="",C94="",E94=""),"",B94&amp;" S.T. · "&amp;C94&amp;" · "&amp;D94&amp;" · "&amp;F94)</x:f>
      </x:c>
      <x:c r="H94" s="28"/>
      <x:c r="I94" s="58"/>
      <x:c r="J94" s="28"/>
      <x:c r="K94" s="28"/>
      <x:c r="L94" s="28"/>
      <x:c r="M94" s="28"/>
      <x:c r="N94" s="28"/>
      <x:c r="O94" s="28"/>
      <x:c r="P94" s="58"/>
      <x:c r="Q94" s="28"/>
      <x:c r="R94" s="33" t="str">
        <x:f>IF(OR(B94="",C94="",E94=""),"",B94*294+CHOOSE(MATCH(C94,{"海洋季","火焰季","大地季","黑暗季","風暴季","聖季期"},0),0,56,112,168,224,280)+E94)</x:f>
      </x:c>
    </x:row>
    <x:row r="95" ht="38" customHeight="1">
      <x:c r="A95" s="33"/>
      <x:c r="B95" s="57"/>
      <x:c r="C95" s="58"/>
      <x:c r="D95" s="26" t="str">
        <x:f>IF(C95="","",IF(C95="聖季期",CHOOSE(ROUNDUP(E95/7,0),"幸運週","命運週"),CHOOSE(ROUNDUP(E95/7,0),"混亂週","和諧週","死亡週","豐饒週","停滯週","運動週","幻象週","真理週")))</x:f>
      </x:c>
      <x:c r="E95" s="57"/>
      <x:c r="F95" s="26" t="str">
        <x:f>IF(E95="","",CHOOSE(MOD(E95-1,7)+1,"寒霜日","流水日","泥土日","風暴日","火焰日","狂野日","眾神日"))</x:f>
      </x:c>
      <x:c r="G95" s="26" t="str">
        <x:f>IF(OR(B95="",C95="",E95=""),"",B95&amp;" S.T. · "&amp;C95&amp;" · "&amp;D95&amp;" · "&amp;F95)</x:f>
      </x:c>
      <x:c r="H95" s="28"/>
      <x:c r="I95" s="58"/>
      <x:c r="J95" s="28"/>
      <x:c r="K95" s="28"/>
      <x:c r="L95" s="28"/>
      <x:c r="M95" s="28"/>
      <x:c r="N95" s="28"/>
      <x:c r="O95" s="28"/>
      <x:c r="P95" s="58"/>
      <x:c r="Q95" s="28"/>
      <x:c r="R95" s="33" t="str">
        <x:f>IF(OR(B95="",C95="",E95=""),"",B95*294+CHOOSE(MATCH(C95,{"海洋季","火焰季","大地季","黑暗季","風暴季","聖季期"},0),0,56,112,168,224,280)+E95)</x:f>
      </x:c>
    </x:row>
    <x:row r="96" ht="38" customHeight="1">
      <x:c r="A96" s="33"/>
      <x:c r="B96" s="57"/>
      <x:c r="C96" s="58"/>
      <x:c r="D96" s="26" t="str">
        <x:f>IF(C96="","",IF(C96="聖季期",CHOOSE(ROUNDUP(E96/7,0),"幸運週","命運週"),CHOOSE(ROUNDUP(E96/7,0),"混亂週","和諧週","死亡週","豐饒週","停滯週","運動週","幻象週","真理週")))</x:f>
      </x:c>
      <x:c r="E96" s="57"/>
      <x:c r="F96" s="26" t="str">
        <x:f>IF(E96="","",CHOOSE(MOD(E96-1,7)+1,"寒霜日","流水日","泥土日","風暴日","火焰日","狂野日","眾神日"))</x:f>
      </x:c>
      <x:c r="G96" s="26" t="str">
        <x:f>IF(OR(B96="",C96="",E96=""),"",B96&amp;" S.T. · "&amp;C96&amp;" · "&amp;D96&amp;" · "&amp;F96)</x:f>
      </x:c>
      <x:c r="H96" s="28"/>
      <x:c r="I96" s="58"/>
      <x:c r="J96" s="28"/>
      <x:c r="K96" s="28"/>
      <x:c r="L96" s="28"/>
      <x:c r="M96" s="28"/>
      <x:c r="N96" s="28"/>
      <x:c r="O96" s="28"/>
      <x:c r="P96" s="58"/>
      <x:c r="Q96" s="28"/>
      <x:c r="R96" s="33" t="str">
        <x:f>IF(OR(B96="",C96="",E96=""),"",B96*294+CHOOSE(MATCH(C96,{"海洋季","火焰季","大地季","黑暗季","風暴季","聖季期"},0),0,56,112,168,224,280)+E96)</x:f>
      </x:c>
    </x:row>
    <x:row r="97" ht="38" customHeight="1">
      <x:c r="A97" s="33"/>
      <x:c r="B97" s="57"/>
      <x:c r="C97" s="58"/>
      <x:c r="D97" s="26" t="str">
        <x:f>IF(C97="","",IF(C97="聖季期",CHOOSE(ROUNDUP(E97/7,0),"幸運週","命運週"),CHOOSE(ROUNDUP(E97/7,0),"混亂週","和諧週","死亡週","豐饒週","停滯週","運動週","幻象週","真理週")))</x:f>
      </x:c>
      <x:c r="E97" s="57"/>
      <x:c r="F97" s="26" t="str">
        <x:f>IF(E97="","",CHOOSE(MOD(E97-1,7)+1,"寒霜日","流水日","泥土日","風暴日","火焰日","狂野日","眾神日"))</x:f>
      </x:c>
      <x:c r="G97" s="26" t="str">
        <x:f>IF(OR(B97="",C97="",E97=""),"",B97&amp;" S.T. · "&amp;C97&amp;" · "&amp;D97&amp;" · "&amp;F97)</x:f>
      </x:c>
      <x:c r="H97" s="28"/>
      <x:c r="I97" s="58"/>
      <x:c r="J97" s="28"/>
      <x:c r="K97" s="28"/>
      <x:c r="L97" s="28"/>
      <x:c r="M97" s="28"/>
      <x:c r="N97" s="28"/>
      <x:c r="O97" s="28"/>
      <x:c r="P97" s="58"/>
      <x:c r="Q97" s="28"/>
      <x:c r="R97" s="33" t="str">
        <x:f>IF(OR(B97="",C97="",E97=""),"",B97*294+CHOOSE(MATCH(C97,{"海洋季","火焰季","大地季","黑暗季","風暴季","聖季期"},0),0,56,112,168,224,280)+E97)</x:f>
      </x:c>
    </x:row>
    <x:row r="98" ht="38" customHeight="1">
      <x:c r="A98" s="33"/>
      <x:c r="B98" s="57"/>
      <x:c r="C98" s="58"/>
      <x:c r="D98" s="26" t="str">
        <x:f>IF(C98="","",IF(C98="聖季期",CHOOSE(ROUNDUP(E98/7,0),"幸運週","命運週"),CHOOSE(ROUNDUP(E98/7,0),"混亂週","和諧週","死亡週","豐饒週","停滯週","運動週","幻象週","真理週")))</x:f>
      </x:c>
      <x:c r="E98" s="57"/>
      <x:c r="F98" s="26" t="str">
        <x:f>IF(E98="","",CHOOSE(MOD(E98-1,7)+1,"寒霜日","流水日","泥土日","風暴日","火焰日","狂野日","眾神日"))</x:f>
      </x:c>
      <x:c r="G98" s="26" t="str">
        <x:f>IF(OR(B98="",C98="",E98=""),"",B98&amp;" S.T. · "&amp;C98&amp;" · "&amp;D98&amp;" · "&amp;F98)</x:f>
      </x:c>
      <x:c r="H98" s="28"/>
      <x:c r="I98" s="58"/>
      <x:c r="J98" s="28"/>
      <x:c r="K98" s="28"/>
      <x:c r="L98" s="28"/>
      <x:c r="M98" s="28"/>
      <x:c r="N98" s="28"/>
      <x:c r="O98" s="28"/>
      <x:c r="P98" s="58"/>
      <x:c r="Q98" s="28"/>
      <x:c r="R98" s="33" t="str">
        <x:f>IF(OR(B98="",C98="",E98=""),"",B98*294+CHOOSE(MATCH(C98,{"海洋季","火焰季","大地季","黑暗季","風暴季","聖季期"},0),0,56,112,168,224,280)+E98)</x:f>
      </x:c>
    </x:row>
    <x:row r="99" ht="38" customHeight="1">
      <x:c r="A99" s="33"/>
      <x:c r="B99" s="57"/>
      <x:c r="C99" s="58"/>
      <x:c r="D99" s="26" t="str">
        <x:f>IF(C99="","",IF(C99="聖季期",CHOOSE(ROUNDUP(E99/7,0),"幸運週","命運週"),CHOOSE(ROUNDUP(E99/7,0),"混亂週","和諧週","死亡週","豐饒週","停滯週","運動週","幻象週","真理週")))</x:f>
      </x:c>
      <x:c r="E99" s="57"/>
      <x:c r="F99" s="26" t="str">
        <x:f>IF(E99="","",CHOOSE(MOD(E99-1,7)+1,"寒霜日","流水日","泥土日","風暴日","火焰日","狂野日","眾神日"))</x:f>
      </x:c>
      <x:c r="G99" s="26" t="str">
        <x:f>IF(OR(B99="",C99="",E99=""),"",B99&amp;" S.T. · "&amp;C99&amp;" · "&amp;D99&amp;" · "&amp;F99)</x:f>
      </x:c>
      <x:c r="H99" s="28"/>
      <x:c r="I99" s="58"/>
      <x:c r="J99" s="28"/>
      <x:c r="K99" s="28"/>
      <x:c r="L99" s="28"/>
      <x:c r="M99" s="28"/>
      <x:c r="N99" s="28"/>
      <x:c r="O99" s="28"/>
      <x:c r="P99" s="58"/>
      <x:c r="Q99" s="28"/>
      <x:c r="R99" s="33" t="str">
        <x:f>IF(OR(B99="",C99="",E99=""),"",B99*294+CHOOSE(MATCH(C99,{"海洋季","火焰季","大地季","黑暗季","風暴季","聖季期"},0),0,56,112,168,224,280)+E99)</x:f>
      </x:c>
    </x:row>
    <x:row r="100" ht="38" customHeight="1">
      <x:c r="A100" s="33"/>
      <x:c r="B100" s="57"/>
      <x:c r="C100" s="58"/>
      <x:c r="D100" s="26" t="str">
        <x:f>IF(C100="","",IF(C100="聖季期",CHOOSE(ROUNDUP(E100/7,0),"幸運週","命運週"),CHOOSE(ROUNDUP(E100/7,0),"混亂週","和諧週","死亡週","豐饒週","停滯週","運動週","幻象週","真理週")))</x:f>
      </x:c>
      <x:c r="E100" s="57"/>
      <x:c r="F100" s="26" t="str">
        <x:f>IF(E100="","",CHOOSE(MOD(E100-1,7)+1,"寒霜日","流水日","泥土日","風暴日","火焰日","狂野日","眾神日"))</x:f>
      </x:c>
      <x:c r="G100" s="26" t="str">
        <x:f>IF(OR(B100="",C100="",E100=""),"",B100&amp;" S.T. · "&amp;C100&amp;" · "&amp;D100&amp;" · "&amp;F100)</x:f>
      </x:c>
      <x:c r="H100" s="28"/>
      <x:c r="I100" s="58"/>
      <x:c r="J100" s="28"/>
      <x:c r="K100" s="28"/>
      <x:c r="L100" s="28"/>
      <x:c r="M100" s="28"/>
      <x:c r="N100" s="28"/>
      <x:c r="O100" s="28"/>
      <x:c r="P100" s="58"/>
      <x:c r="Q100" s="28"/>
      <x:c r="R100" s="33" t="str">
        <x:f>IF(OR(B100="",C100="",E100=""),"",B100*294+CHOOSE(MATCH(C100,{"海洋季","火焰季","大地季","黑暗季","風暴季","聖季期"},0),0,56,112,168,224,280)+E100)</x:f>
      </x:c>
    </x:row>
    <x:row r="101" ht="38" customHeight="1">
      <x:c r="A101" s="33"/>
      <x:c r="B101" s="57"/>
      <x:c r="C101" s="58"/>
      <x:c r="D101" s="26" t="str">
        <x:f>IF(C101="","",IF(C101="聖季期",CHOOSE(ROUNDUP(E101/7,0),"幸運週","命運週"),CHOOSE(ROUNDUP(E101/7,0),"混亂週","和諧週","死亡週","豐饒週","停滯週","運動週","幻象週","真理週")))</x:f>
      </x:c>
      <x:c r="E101" s="57"/>
      <x:c r="F101" s="26" t="str">
        <x:f>IF(E101="","",CHOOSE(MOD(E101-1,7)+1,"寒霜日","流水日","泥土日","風暴日","火焰日","狂野日","眾神日"))</x:f>
      </x:c>
      <x:c r="G101" s="26" t="str">
        <x:f>IF(OR(B101="",C101="",E101=""),"",B101&amp;" S.T. · "&amp;C101&amp;" · "&amp;D101&amp;" · "&amp;F101)</x:f>
      </x:c>
      <x:c r="H101" s="28"/>
      <x:c r="I101" s="58"/>
      <x:c r="J101" s="28"/>
      <x:c r="K101" s="28"/>
      <x:c r="L101" s="28"/>
      <x:c r="M101" s="28"/>
      <x:c r="N101" s="28"/>
      <x:c r="O101" s="28"/>
      <x:c r="P101" s="58"/>
      <x:c r="Q101" s="28"/>
      <x:c r="R101" s="33" t="str">
        <x:f>IF(OR(B101="",C101="",E101=""),"",B101*294+CHOOSE(MATCH(C101,{"海洋季","火焰季","大地季","黑暗季","風暴季","聖季期"},0),0,56,112,168,224,280)+E101)</x:f>
      </x:c>
    </x:row>
    <x:row r="102" ht="38" customHeight="1">
      <x:c r="A102" s="33"/>
      <x:c r="B102" s="57"/>
      <x:c r="C102" s="58"/>
      <x:c r="D102" s="26" t="str">
        <x:f>IF(C102="","",IF(C102="聖季期",CHOOSE(ROUNDUP(E102/7,0),"幸運週","命運週"),CHOOSE(ROUNDUP(E102/7,0),"混亂週","和諧週","死亡週","豐饒週","停滯週","運動週","幻象週","真理週")))</x:f>
      </x:c>
      <x:c r="E102" s="57"/>
      <x:c r="F102" s="26" t="str">
        <x:f>IF(E102="","",CHOOSE(MOD(E102-1,7)+1,"寒霜日","流水日","泥土日","風暴日","火焰日","狂野日","眾神日"))</x:f>
      </x:c>
      <x:c r="G102" s="26" t="str">
        <x:f>IF(OR(B102="",C102="",E102=""),"",B102&amp;" S.T. · "&amp;C102&amp;" · "&amp;D102&amp;" · "&amp;F102)</x:f>
      </x:c>
      <x:c r="H102" s="28"/>
      <x:c r="I102" s="58"/>
      <x:c r="J102" s="28"/>
      <x:c r="K102" s="28"/>
      <x:c r="L102" s="28"/>
      <x:c r="M102" s="28"/>
      <x:c r="N102" s="28"/>
      <x:c r="O102" s="28"/>
      <x:c r="P102" s="58"/>
      <x:c r="Q102" s="28"/>
      <x:c r="R102" s="33" t="str">
        <x:f>IF(OR(B102="",C102="",E102=""),"",B102*294+CHOOSE(MATCH(C102,{"海洋季","火焰季","大地季","黑暗季","風暴季","聖季期"},0),0,56,112,168,224,280)+E102)</x:f>
      </x:c>
    </x:row>
    <x:row r="103" ht="38" customHeight="1">
      <x:c r="A103" s="33"/>
      <x:c r="B103" s="57"/>
      <x:c r="C103" s="58"/>
      <x:c r="D103" s="26" t="str">
        <x:f>IF(C103="","",IF(C103="聖季期",CHOOSE(ROUNDUP(E103/7,0),"幸運週","命運週"),CHOOSE(ROUNDUP(E103/7,0),"混亂週","和諧週","死亡週","豐饒週","停滯週","運動週","幻象週","真理週")))</x:f>
      </x:c>
      <x:c r="E103" s="57"/>
      <x:c r="F103" s="26" t="str">
        <x:f>IF(E103="","",CHOOSE(MOD(E103-1,7)+1,"寒霜日","流水日","泥土日","風暴日","火焰日","狂野日","眾神日"))</x:f>
      </x:c>
      <x:c r="G103" s="26" t="str">
        <x:f>IF(OR(B103="",C103="",E103=""),"",B103&amp;" S.T. · "&amp;C103&amp;" · "&amp;D103&amp;" · "&amp;F103)</x:f>
      </x:c>
      <x:c r="H103" s="28"/>
      <x:c r="I103" s="58"/>
      <x:c r="J103" s="28"/>
      <x:c r="K103" s="28"/>
      <x:c r="L103" s="28"/>
      <x:c r="M103" s="28"/>
      <x:c r="N103" s="28"/>
      <x:c r="O103" s="28"/>
      <x:c r="P103" s="58"/>
      <x:c r="Q103" s="28"/>
      <x:c r="R103" s="33" t="str">
        <x:f>IF(OR(B103="",C103="",E103=""),"",B103*294+CHOOSE(MATCH(C103,{"海洋季","火焰季","大地季","黑暗季","風暴季","聖季期"},0),0,56,112,168,224,280)+E103)</x:f>
      </x:c>
    </x:row>
    <x:row r="104" ht="38" customHeight="1">
      <x:c r="A104" s="33"/>
      <x:c r="B104" s="57"/>
      <x:c r="C104" s="58"/>
      <x:c r="D104" s="26" t="str">
        <x:f>IF(C104="","",IF(C104="聖季期",CHOOSE(ROUNDUP(E104/7,0),"幸運週","命運週"),CHOOSE(ROUNDUP(E104/7,0),"混亂週","和諧週","死亡週","豐饒週","停滯週","運動週","幻象週","真理週")))</x:f>
      </x:c>
      <x:c r="E104" s="57"/>
      <x:c r="F104" s="26" t="str">
        <x:f>IF(E104="","",CHOOSE(MOD(E104-1,7)+1,"寒霜日","流水日","泥土日","風暴日","火焰日","狂野日","眾神日"))</x:f>
      </x:c>
      <x:c r="G104" s="26" t="str">
        <x:f>IF(OR(B104="",C104="",E104=""),"",B104&amp;" S.T. · "&amp;C104&amp;" · "&amp;D104&amp;" · "&amp;F104)</x:f>
      </x:c>
      <x:c r="H104" s="28"/>
      <x:c r="I104" s="58"/>
      <x:c r="J104" s="28"/>
      <x:c r="K104" s="28"/>
      <x:c r="L104" s="28"/>
      <x:c r="M104" s="28"/>
      <x:c r="N104" s="28"/>
      <x:c r="O104" s="28"/>
      <x:c r="P104" s="58"/>
      <x:c r="Q104" s="28"/>
      <x:c r="R104" s="33" t="str">
        <x:f>IF(OR(B104="",C104="",E104=""),"",B104*294+CHOOSE(MATCH(C104,{"海洋季","火焰季","大地季","黑暗季","風暴季","聖季期"},0),0,56,112,168,224,280)+E104)</x:f>
      </x:c>
    </x:row>
    <x:row r="105" ht="38" customHeight="1">
      <x:c r="A105" s="33"/>
      <x:c r="B105" s="57"/>
      <x:c r="C105" s="58"/>
      <x:c r="D105" s="26" t="str">
        <x:f>IF(C105="","",IF(C105="聖季期",CHOOSE(ROUNDUP(E105/7,0),"幸運週","命運週"),CHOOSE(ROUNDUP(E105/7,0),"混亂週","和諧週","死亡週","豐饒週","停滯週","運動週","幻象週","真理週")))</x:f>
      </x:c>
      <x:c r="E105" s="57"/>
      <x:c r="F105" s="26" t="str">
        <x:f>IF(E105="","",CHOOSE(MOD(E105-1,7)+1,"寒霜日","流水日","泥土日","風暴日","火焰日","狂野日","眾神日"))</x:f>
      </x:c>
      <x:c r="G105" s="26" t="str">
        <x:f>IF(OR(B105="",C105="",E105=""),"",B105&amp;" S.T. · "&amp;C105&amp;" · "&amp;D105&amp;" · "&amp;F105)</x:f>
      </x:c>
      <x:c r="H105" s="28"/>
      <x:c r="I105" s="58"/>
      <x:c r="J105" s="28"/>
      <x:c r="K105" s="28"/>
      <x:c r="L105" s="28"/>
      <x:c r="M105" s="28"/>
      <x:c r="N105" s="28"/>
      <x:c r="O105" s="28"/>
      <x:c r="P105" s="58"/>
      <x:c r="Q105" s="28"/>
      <x:c r="R105" s="33" t="str">
        <x:f>IF(OR(B105="",C105="",E105=""),"",B105*294+CHOOSE(MATCH(C105,{"海洋季","火焰季","大地季","黑暗季","風暴季","聖季期"},0),0,56,112,168,224,280)+E105)</x:f>
      </x:c>
    </x:row>
    <x:row r="106" ht="38" customHeight="1">
      <x:c r="A106" s="33"/>
      <x:c r="B106" s="57"/>
      <x:c r="C106" s="58"/>
      <x:c r="D106" s="26" t="str">
        <x:f>IF(C106="","",IF(C106="聖季期",CHOOSE(ROUNDUP(E106/7,0),"幸運週","命運週"),CHOOSE(ROUNDUP(E106/7,0),"混亂週","和諧週","死亡週","豐饒週","停滯週","運動週","幻象週","真理週")))</x:f>
      </x:c>
      <x:c r="E106" s="57"/>
      <x:c r="F106" s="26" t="str">
        <x:f>IF(E106="","",CHOOSE(MOD(E106-1,7)+1,"寒霜日","流水日","泥土日","風暴日","火焰日","狂野日","眾神日"))</x:f>
      </x:c>
      <x:c r="G106" s="26" t="str">
        <x:f>IF(OR(B106="",C106="",E106=""),"",B106&amp;" S.T. · "&amp;C106&amp;" · "&amp;D106&amp;" · "&amp;F106)</x:f>
      </x:c>
      <x:c r="H106" s="28"/>
      <x:c r="I106" s="58"/>
      <x:c r="J106" s="28"/>
      <x:c r="K106" s="28"/>
      <x:c r="L106" s="28"/>
      <x:c r="M106" s="28"/>
      <x:c r="N106" s="28"/>
      <x:c r="O106" s="28"/>
      <x:c r="P106" s="58"/>
      <x:c r="Q106" s="28"/>
      <x:c r="R106" s="33" t="str">
        <x:f>IF(OR(B106="",C106="",E106=""),"",B106*294+CHOOSE(MATCH(C106,{"海洋季","火焰季","大地季","黑暗季","風暴季","聖季期"},0),0,56,112,168,224,280)+E106)</x:f>
      </x:c>
    </x:row>
    <x:row r="107" ht="38" customHeight="1">
      <x:c r="A107" s="33"/>
      <x:c r="B107" s="57"/>
      <x:c r="C107" s="58"/>
      <x:c r="D107" s="26" t="str">
        <x:f>IF(C107="","",IF(C107="聖季期",CHOOSE(ROUNDUP(E107/7,0),"幸運週","命運週"),CHOOSE(ROUNDUP(E107/7,0),"混亂週","和諧週","死亡週","豐饒週","停滯週","運動週","幻象週","真理週")))</x:f>
      </x:c>
      <x:c r="E107" s="57"/>
      <x:c r="F107" s="26" t="str">
        <x:f>IF(E107="","",CHOOSE(MOD(E107-1,7)+1,"寒霜日","流水日","泥土日","風暴日","火焰日","狂野日","眾神日"))</x:f>
      </x:c>
      <x:c r="G107" s="26" t="str">
        <x:f>IF(OR(B107="",C107="",E107=""),"",B107&amp;" S.T. · "&amp;C107&amp;" · "&amp;D107&amp;" · "&amp;F107)</x:f>
      </x:c>
      <x:c r="H107" s="28"/>
      <x:c r="I107" s="58"/>
      <x:c r="J107" s="28"/>
      <x:c r="K107" s="28"/>
      <x:c r="L107" s="28"/>
      <x:c r="M107" s="28"/>
      <x:c r="N107" s="28"/>
      <x:c r="O107" s="28"/>
      <x:c r="P107" s="58"/>
      <x:c r="Q107" s="28"/>
      <x:c r="R107" s="33" t="str">
        <x:f>IF(OR(B107="",C107="",E107=""),"",B107*294+CHOOSE(MATCH(C107,{"海洋季","火焰季","大地季","黑暗季","風暴季","聖季期"},0),0,56,112,168,224,280)+E107)</x:f>
      </x:c>
    </x:row>
    <x:row r="108" ht="38" customHeight="1">
      <x:c r="A108" s="33"/>
      <x:c r="B108" s="57"/>
      <x:c r="C108" s="58"/>
      <x:c r="D108" s="26" t="str">
        <x:f>IF(C108="","",IF(C108="聖季期",CHOOSE(ROUNDUP(E108/7,0),"幸運週","命運週"),CHOOSE(ROUNDUP(E108/7,0),"混亂週","和諧週","死亡週","豐饒週","停滯週","運動週","幻象週","真理週")))</x:f>
      </x:c>
      <x:c r="E108" s="57"/>
      <x:c r="F108" s="26" t="str">
        <x:f>IF(E108="","",CHOOSE(MOD(E108-1,7)+1,"寒霜日","流水日","泥土日","風暴日","火焰日","狂野日","眾神日"))</x:f>
      </x:c>
      <x:c r="G108" s="26" t="str">
        <x:f>IF(OR(B108="",C108="",E108=""),"",B108&amp;" S.T. · "&amp;C108&amp;" · "&amp;D108&amp;" · "&amp;F108)</x:f>
      </x:c>
      <x:c r="H108" s="28"/>
      <x:c r="I108" s="58"/>
      <x:c r="J108" s="28"/>
      <x:c r="K108" s="28"/>
      <x:c r="L108" s="28"/>
      <x:c r="M108" s="28"/>
      <x:c r="N108" s="28"/>
      <x:c r="O108" s="28"/>
      <x:c r="P108" s="58"/>
      <x:c r="Q108" s="28"/>
      <x:c r="R108" s="33" t="str">
        <x:f>IF(OR(B108="",C108="",E108=""),"",B108*294+CHOOSE(MATCH(C108,{"海洋季","火焰季","大地季","黑暗季","風暴季","聖季期"},0),0,56,112,168,224,280)+E108)</x:f>
      </x:c>
    </x:row>
    <x:row r="109" ht="38" customHeight="1">
      <x:c r="A109" s="33"/>
      <x:c r="B109" s="57"/>
      <x:c r="C109" s="58"/>
      <x:c r="D109" s="26" t="str">
        <x:f>IF(C109="","",IF(C109="聖季期",CHOOSE(ROUNDUP(E109/7,0),"幸運週","命運週"),CHOOSE(ROUNDUP(E109/7,0),"混亂週","和諧週","死亡週","豐饒週","停滯週","運動週","幻象週","真理週")))</x:f>
      </x:c>
      <x:c r="E109" s="57"/>
      <x:c r="F109" s="26" t="str">
        <x:f>IF(E109="","",CHOOSE(MOD(E109-1,7)+1,"寒霜日","流水日","泥土日","風暴日","火焰日","狂野日","眾神日"))</x:f>
      </x:c>
      <x:c r="G109" s="26" t="str">
        <x:f>IF(OR(B109="",C109="",E109=""),"",B109&amp;" S.T. · "&amp;C109&amp;" · "&amp;D109&amp;" · "&amp;F109)</x:f>
      </x:c>
      <x:c r="H109" s="28"/>
      <x:c r="I109" s="58"/>
      <x:c r="J109" s="28"/>
      <x:c r="K109" s="28"/>
      <x:c r="L109" s="28"/>
      <x:c r="M109" s="28"/>
      <x:c r="N109" s="28"/>
      <x:c r="O109" s="28"/>
      <x:c r="P109" s="58"/>
      <x:c r="Q109" s="28"/>
      <x:c r="R109" s="33" t="str">
        <x:f>IF(OR(B109="",C109="",E109=""),"",B109*294+CHOOSE(MATCH(C109,{"海洋季","火焰季","大地季","黑暗季","風暴季","聖季期"},0),0,56,112,168,224,280)+E109)</x:f>
      </x:c>
    </x:row>
    <x:row r="110" ht="38" customHeight="1">
      <x:c r="A110" s="33"/>
      <x:c r="B110" s="57"/>
      <x:c r="C110" s="58"/>
      <x:c r="D110" s="26" t="str">
        <x:f>IF(C110="","",IF(C110="聖季期",CHOOSE(ROUNDUP(E110/7,0),"幸運週","命運週"),CHOOSE(ROUNDUP(E110/7,0),"混亂週","和諧週","死亡週","豐饒週","停滯週","運動週","幻象週","真理週")))</x:f>
      </x:c>
      <x:c r="E110" s="57"/>
      <x:c r="F110" s="26" t="str">
        <x:f>IF(E110="","",CHOOSE(MOD(E110-1,7)+1,"寒霜日","流水日","泥土日","風暴日","火焰日","狂野日","眾神日"))</x:f>
      </x:c>
      <x:c r="G110" s="26" t="str">
        <x:f>IF(OR(B110="",C110="",E110=""),"",B110&amp;" S.T. · "&amp;C110&amp;" · "&amp;D110&amp;" · "&amp;F110)</x:f>
      </x:c>
      <x:c r="H110" s="28"/>
      <x:c r="I110" s="58"/>
      <x:c r="J110" s="28"/>
      <x:c r="K110" s="28"/>
      <x:c r="L110" s="28"/>
      <x:c r="M110" s="28"/>
      <x:c r="N110" s="28"/>
      <x:c r="O110" s="28"/>
      <x:c r="P110" s="58"/>
      <x:c r="Q110" s="28"/>
      <x:c r="R110" s="33" t="str">
        <x:f>IF(OR(B110="",C110="",E110=""),"",B110*294+CHOOSE(MATCH(C110,{"海洋季","火焰季","大地季","黑暗季","風暴季","聖季期"},0),0,56,112,168,224,280)+E110)</x:f>
      </x:c>
    </x:row>
    <x:row r="111" ht="38" customHeight="1">
      <x:c r="A111" s="33"/>
      <x:c r="B111" s="57"/>
      <x:c r="C111" s="58"/>
      <x:c r="D111" s="26" t="str">
        <x:f>IF(C111="","",IF(C111="聖季期",CHOOSE(ROUNDUP(E111/7,0),"幸運週","命運週"),CHOOSE(ROUNDUP(E111/7,0),"混亂週","和諧週","死亡週","豐饒週","停滯週","運動週","幻象週","真理週")))</x:f>
      </x:c>
      <x:c r="E111" s="57"/>
      <x:c r="F111" s="26" t="str">
        <x:f>IF(E111="","",CHOOSE(MOD(E111-1,7)+1,"寒霜日","流水日","泥土日","風暴日","火焰日","狂野日","眾神日"))</x:f>
      </x:c>
      <x:c r="G111" s="26" t="str">
        <x:f>IF(OR(B111="",C111="",E111=""),"",B111&amp;" S.T. · "&amp;C111&amp;" · "&amp;D111&amp;" · "&amp;F111)</x:f>
      </x:c>
      <x:c r="H111" s="28"/>
      <x:c r="I111" s="58"/>
      <x:c r="J111" s="28"/>
      <x:c r="K111" s="28"/>
      <x:c r="L111" s="28"/>
      <x:c r="M111" s="28"/>
      <x:c r="N111" s="28"/>
      <x:c r="O111" s="28"/>
      <x:c r="P111" s="58"/>
      <x:c r="Q111" s="28"/>
      <x:c r="R111" s="33" t="str">
        <x:f>IF(OR(B111="",C111="",E111=""),"",B111*294+CHOOSE(MATCH(C111,{"海洋季","火焰季","大地季","黑暗季","風暴季","聖季期"},0),0,56,112,168,224,280)+E111)</x:f>
      </x:c>
    </x:row>
    <x:row r="112" ht="38" customHeight="1">
      <x:c r="A112" s="33"/>
      <x:c r="B112" s="57"/>
      <x:c r="C112" s="58"/>
      <x:c r="D112" s="26" t="str">
        <x:f>IF(C112="","",IF(C112="聖季期",CHOOSE(ROUNDUP(E112/7,0),"幸運週","命運週"),CHOOSE(ROUNDUP(E112/7,0),"混亂週","和諧週","死亡週","豐饒週","停滯週","運動週","幻象週","真理週")))</x:f>
      </x:c>
      <x:c r="E112" s="57"/>
      <x:c r="F112" s="26" t="str">
        <x:f>IF(E112="","",CHOOSE(MOD(E112-1,7)+1,"寒霜日","流水日","泥土日","風暴日","火焰日","狂野日","眾神日"))</x:f>
      </x:c>
      <x:c r="G112" s="26" t="str">
        <x:f>IF(OR(B112="",C112="",E112=""),"",B112&amp;" S.T. · "&amp;C112&amp;" · "&amp;D112&amp;" · "&amp;F112)</x:f>
      </x:c>
      <x:c r="H112" s="28"/>
      <x:c r="I112" s="58"/>
      <x:c r="J112" s="28"/>
      <x:c r="K112" s="28"/>
      <x:c r="L112" s="28"/>
      <x:c r="M112" s="28"/>
      <x:c r="N112" s="28"/>
      <x:c r="O112" s="28"/>
      <x:c r="P112" s="58"/>
      <x:c r="Q112" s="28"/>
      <x:c r="R112" s="33" t="str">
        <x:f>IF(OR(B112="",C112="",E112=""),"",B112*294+CHOOSE(MATCH(C112,{"海洋季","火焰季","大地季","黑暗季","風暴季","聖季期"},0),0,56,112,168,224,280)+E112)</x:f>
      </x:c>
    </x:row>
    <x:row r="113" ht="38" customHeight="1">
      <x:c r="A113" s="33"/>
      <x:c r="B113" s="57"/>
      <x:c r="C113" s="58"/>
      <x:c r="D113" s="26" t="str">
        <x:f>IF(C113="","",IF(C113="聖季期",CHOOSE(ROUNDUP(E113/7,0),"幸運週","命運週"),CHOOSE(ROUNDUP(E113/7,0),"混亂週","和諧週","死亡週","豐饒週","停滯週","運動週","幻象週","真理週")))</x:f>
      </x:c>
      <x:c r="E113" s="57"/>
      <x:c r="F113" s="26" t="str">
        <x:f>IF(E113="","",CHOOSE(MOD(E113-1,7)+1,"寒霜日","流水日","泥土日","風暴日","火焰日","狂野日","眾神日"))</x:f>
      </x:c>
      <x:c r="G113" s="26" t="str">
        <x:f>IF(OR(B113="",C113="",E113=""),"",B113&amp;" S.T. · "&amp;C113&amp;" · "&amp;D113&amp;" · "&amp;F113)</x:f>
      </x:c>
      <x:c r="H113" s="28"/>
      <x:c r="I113" s="58"/>
      <x:c r="J113" s="28"/>
      <x:c r="K113" s="28"/>
      <x:c r="L113" s="28"/>
      <x:c r="M113" s="28"/>
      <x:c r="N113" s="28"/>
      <x:c r="O113" s="28"/>
      <x:c r="P113" s="58"/>
      <x:c r="Q113" s="28"/>
      <x:c r="R113" s="33" t="str">
        <x:f>IF(OR(B113="",C113="",E113=""),"",B113*294+CHOOSE(MATCH(C113,{"海洋季","火焰季","大地季","黑暗季","風暴季","聖季期"},0),0,56,112,168,224,280)+E113)</x:f>
      </x:c>
    </x:row>
    <x:row r="114" ht="38" customHeight="1">
      <x:c r="A114" s="33"/>
      <x:c r="B114" s="57"/>
      <x:c r="C114" s="58"/>
      <x:c r="D114" s="26" t="str">
        <x:f>IF(C114="","",IF(C114="聖季期",CHOOSE(ROUNDUP(E114/7,0),"幸運週","命運週"),CHOOSE(ROUNDUP(E114/7,0),"混亂週","和諧週","死亡週","豐饒週","停滯週","運動週","幻象週","真理週")))</x:f>
      </x:c>
      <x:c r="E114" s="57"/>
      <x:c r="F114" s="26" t="str">
        <x:f>IF(E114="","",CHOOSE(MOD(E114-1,7)+1,"寒霜日","流水日","泥土日","風暴日","火焰日","狂野日","眾神日"))</x:f>
      </x:c>
      <x:c r="G114" s="26" t="str">
        <x:f>IF(OR(B114="",C114="",E114=""),"",B114&amp;" S.T. · "&amp;C114&amp;" · "&amp;D114&amp;" · "&amp;F114)</x:f>
      </x:c>
      <x:c r="H114" s="28"/>
      <x:c r="I114" s="58"/>
      <x:c r="J114" s="28"/>
      <x:c r="K114" s="28"/>
      <x:c r="L114" s="28"/>
      <x:c r="M114" s="28"/>
      <x:c r="N114" s="28"/>
      <x:c r="O114" s="28"/>
      <x:c r="P114" s="58"/>
      <x:c r="Q114" s="28"/>
      <x:c r="R114" s="33" t="str">
        <x:f>IF(OR(B114="",C114="",E114=""),"",B114*294+CHOOSE(MATCH(C114,{"海洋季","火焰季","大地季","黑暗季","風暴季","聖季期"},0),0,56,112,168,224,280)+E114)</x:f>
      </x:c>
    </x:row>
    <x:row r="115" ht="38" customHeight="1">
      <x:c r="A115" s="33"/>
      <x:c r="B115" s="57"/>
      <x:c r="C115" s="58"/>
      <x:c r="D115" s="26" t="str">
        <x:f>IF(C115="","",IF(C115="聖季期",CHOOSE(ROUNDUP(E115/7,0),"幸運週","命運週"),CHOOSE(ROUNDUP(E115/7,0),"混亂週","和諧週","死亡週","豐饒週","停滯週","運動週","幻象週","真理週")))</x:f>
      </x:c>
      <x:c r="E115" s="57"/>
      <x:c r="F115" s="26" t="str">
        <x:f>IF(E115="","",CHOOSE(MOD(E115-1,7)+1,"寒霜日","流水日","泥土日","風暴日","火焰日","狂野日","眾神日"))</x:f>
      </x:c>
      <x:c r="G115" s="26" t="str">
        <x:f>IF(OR(B115="",C115="",E115=""),"",B115&amp;" S.T. · "&amp;C115&amp;" · "&amp;D115&amp;" · "&amp;F115)</x:f>
      </x:c>
      <x:c r="H115" s="28"/>
      <x:c r="I115" s="58"/>
      <x:c r="J115" s="28"/>
      <x:c r="K115" s="28"/>
      <x:c r="L115" s="28"/>
      <x:c r="M115" s="28"/>
      <x:c r="N115" s="28"/>
      <x:c r="O115" s="28"/>
      <x:c r="P115" s="58"/>
      <x:c r="Q115" s="28"/>
      <x:c r="R115" s="33" t="str">
        <x:f>IF(OR(B115="",C115="",E115=""),"",B115*294+CHOOSE(MATCH(C115,{"海洋季","火焰季","大地季","黑暗季","風暴季","聖季期"},0),0,56,112,168,224,280)+E115)</x:f>
      </x:c>
    </x:row>
    <x:row r="116" ht="38" customHeight="1">
      <x:c r="A116" s="33"/>
      <x:c r="B116" s="57"/>
      <x:c r="C116" s="58"/>
      <x:c r="D116" s="26" t="str">
        <x:f>IF(C116="","",IF(C116="聖季期",CHOOSE(ROUNDUP(E116/7,0),"幸運週","命運週"),CHOOSE(ROUNDUP(E116/7,0),"混亂週","和諧週","死亡週","豐饒週","停滯週","運動週","幻象週","真理週")))</x:f>
      </x:c>
      <x:c r="E116" s="57"/>
      <x:c r="F116" s="26" t="str">
        <x:f>IF(E116="","",CHOOSE(MOD(E116-1,7)+1,"寒霜日","流水日","泥土日","風暴日","火焰日","狂野日","眾神日"))</x:f>
      </x:c>
      <x:c r="G116" s="26" t="str">
        <x:f>IF(OR(B116="",C116="",E116=""),"",B116&amp;" S.T. · "&amp;C116&amp;" · "&amp;D116&amp;" · "&amp;F116)</x:f>
      </x:c>
      <x:c r="H116" s="28"/>
      <x:c r="I116" s="58"/>
      <x:c r="J116" s="28"/>
      <x:c r="K116" s="28"/>
      <x:c r="L116" s="28"/>
      <x:c r="M116" s="28"/>
      <x:c r="N116" s="28"/>
      <x:c r="O116" s="28"/>
      <x:c r="P116" s="58"/>
      <x:c r="Q116" s="28"/>
      <x:c r="R116" s="33" t="str">
        <x:f>IF(OR(B116="",C116="",E116=""),"",B116*294+CHOOSE(MATCH(C116,{"海洋季","火焰季","大地季","黑暗季","風暴季","聖季期"},0),0,56,112,168,224,280)+E116)</x:f>
      </x:c>
    </x:row>
    <x:row r="117" ht="38" customHeight="1">
      <x:c r="A117" s="33"/>
      <x:c r="B117" s="57"/>
      <x:c r="C117" s="58"/>
      <x:c r="D117" s="26" t="str">
        <x:f>IF(C117="","",IF(C117="聖季期",CHOOSE(ROUNDUP(E117/7,0),"幸運週","命運週"),CHOOSE(ROUNDUP(E117/7,0),"混亂週","和諧週","死亡週","豐饒週","停滯週","運動週","幻象週","真理週")))</x:f>
      </x:c>
      <x:c r="E117" s="57"/>
      <x:c r="F117" s="26" t="str">
        <x:f>IF(E117="","",CHOOSE(MOD(E117-1,7)+1,"寒霜日","流水日","泥土日","風暴日","火焰日","狂野日","眾神日"))</x:f>
      </x:c>
      <x:c r="G117" s="26" t="str">
        <x:f>IF(OR(B117="",C117="",E117=""),"",B117&amp;" S.T. · "&amp;C117&amp;" · "&amp;D117&amp;" · "&amp;F117)</x:f>
      </x:c>
      <x:c r="H117" s="28"/>
      <x:c r="I117" s="58"/>
      <x:c r="J117" s="28"/>
      <x:c r="K117" s="28"/>
      <x:c r="L117" s="28"/>
      <x:c r="M117" s="28"/>
      <x:c r="N117" s="28"/>
      <x:c r="O117" s="28"/>
      <x:c r="P117" s="58"/>
      <x:c r="Q117" s="28"/>
      <x:c r="R117" s="33" t="str">
        <x:f>IF(OR(B117="",C117="",E117=""),"",B117*294+CHOOSE(MATCH(C117,{"海洋季","火焰季","大地季","黑暗季","風暴季","聖季期"},0),0,56,112,168,224,280)+E117)</x:f>
      </x:c>
    </x:row>
    <x:row r="118" ht="38" customHeight="1">
      <x:c r="A118" s="33"/>
      <x:c r="B118" s="57"/>
      <x:c r="C118" s="58"/>
      <x:c r="D118" s="26" t="str">
        <x:f>IF(C118="","",IF(C118="聖季期",CHOOSE(ROUNDUP(E118/7,0),"幸運週","命運週"),CHOOSE(ROUNDUP(E118/7,0),"混亂週","和諧週","死亡週","豐饒週","停滯週","運動週","幻象週","真理週")))</x:f>
      </x:c>
      <x:c r="E118" s="57"/>
      <x:c r="F118" s="26" t="str">
        <x:f>IF(E118="","",CHOOSE(MOD(E118-1,7)+1,"寒霜日","流水日","泥土日","風暴日","火焰日","狂野日","眾神日"))</x:f>
      </x:c>
      <x:c r="G118" s="26" t="str">
        <x:f>IF(OR(B118="",C118="",E118=""),"",B118&amp;" S.T. · "&amp;C118&amp;" · "&amp;D118&amp;" · "&amp;F118)</x:f>
      </x:c>
      <x:c r="H118" s="28"/>
      <x:c r="I118" s="58"/>
      <x:c r="J118" s="28"/>
      <x:c r="K118" s="28"/>
      <x:c r="L118" s="28"/>
      <x:c r="M118" s="28"/>
      <x:c r="N118" s="28"/>
      <x:c r="O118" s="28"/>
      <x:c r="P118" s="58"/>
      <x:c r="Q118" s="28"/>
      <x:c r="R118" s="33" t="str">
        <x:f>IF(OR(B118="",C118="",E118=""),"",B118*294+CHOOSE(MATCH(C118,{"海洋季","火焰季","大地季","黑暗季","風暴季","聖季期"},0),0,56,112,168,224,280)+E118)</x:f>
      </x:c>
    </x:row>
    <x:row r="119" ht="38" customHeight="1">
      <x:c r="A119" s="33"/>
      <x:c r="B119" s="57"/>
      <x:c r="C119" s="58"/>
      <x:c r="D119" s="26" t="str">
        <x:f>IF(C119="","",IF(C119="聖季期",CHOOSE(ROUNDUP(E119/7,0),"幸運週","命運週"),CHOOSE(ROUNDUP(E119/7,0),"混亂週","和諧週","死亡週","豐饒週","停滯週","運動週","幻象週","真理週")))</x:f>
      </x:c>
      <x:c r="E119" s="57"/>
      <x:c r="F119" s="26" t="str">
        <x:f>IF(E119="","",CHOOSE(MOD(E119-1,7)+1,"寒霜日","流水日","泥土日","風暴日","火焰日","狂野日","眾神日"))</x:f>
      </x:c>
      <x:c r="G119" s="26" t="str">
        <x:f>IF(OR(B119="",C119="",E119=""),"",B119&amp;" S.T. · "&amp;C119&amp;" · "&amp;D119&amp;" · "&amp;F119)</x:f>
      </x:c>
      <x:c r="H119" s="28"/>
      <x:c r="I119" s="58"/>
      <x:c r="J119" s="28"/>
      <x:c r="K119" s="28"/>
      <x:c r="L119" s="28"/>
      <x:c r="M119" s="28"/>
      <x:c r="N119" s="28"/>
      <x:c r="O119" s="28"/>
      <x:c r="P119" s="58"/>
      <x:c r="Q119" s="28"/>
      <x:c r="R119" s="33" t="str">
        <x:f>IF(OR(B119="",C119="",E119=""),"",B119*294+CHOOSE(MATCH(C119,{"海洋季","火焰季","大地季","黑暗季","風暴季","聖季期"},0),0,56,112,168,224,280)+E119)</x:f>
      </x:c>
    </x:row>
    <x:row r="120" ht="38" customHeight="1">
      <x:c r="A120" s="33"/>
      <x:c r="B120" s="57"/>
      <x:c r="C120" s="58"/>
      <x:c r="D120" s="26" t="str">
        <x:f>IF(C120="","",IF(C120="聖季期",CHOOSE(ROUNDUP(E120/7,0),"幸運週","命運週"),CHOOSE(ROUNDUP(E120/7,0),"混亂週","和諧週","死亡週","豐饒週","停滯週","運動週","幻象週","真理週")))</x:f>
      </x:c>
      <x:c r="E120" s="57"/>
      <x:c r="F120" s="26" t="str">
        <x:f>IF(E120="","",CHOOSE(MOD(E120-1,7)+1,"寒霜日","流水日","泥土日","風暴日","火焰日","狂野日","眾神日"))</x:f>
      </x:c>
      <x:c r="G120" s="26" t="str">
        <x:f>IF(OR(B120="",C120="",E120=""),"",B120&amp;" S.T. · "&amp;C120&amp;" · "&amp;D120&amp;" · "&amp;F120)</x:f>
      </x:c>
      <x:c r="H120" s="28"/>
      <x:c r="I120" s="58"/>
      <x:c r="J120" s="28"/>
      <x:c r="K120" s="28"/>
      <x:c r="L120" s="28"/>
      <x:c r="M120" s="28"/>
      <x:c r="N120" s="28"/>
      <x:c r="O120" s="28"/>
      <x:c r="P120" s="58"/>
      <x:c r="Q120" s="28"/>
      <x:c r="R120" s="33" t="str">
        <x:f>IF(OR(B120="",C120="",E120=""),"",B120*294+CHOOSE(MATCH(C120,{"海洋季","火焰季","大地季","黑暗季","風暴季","聖季期"},0),0,56,112,168,224,280)+E120)</x:f>
      </x:c>
    </x:row>
    <x:row r="121" ht="38" customHeight="1">
      <x:c r="A121" s="33"/>
      <x:c r="B121" s="57"/>
      <x:c r="C121" s="58"/>
      <x:c r="D121" s="26" t="str">
        <x:f>IF(C121="","",IF(C121="聖季期",CHOOSE(ROUNDUP(E121/7,0),"幸運週","命運週"),CHOOSE(ROUNDUP(E121/7,0),"混亂週","和諧週","死亡週","豐饒週","停滯週","運動週","幻象週","真理週")))</x:f>
      </x:c>
      <x:c r="E121" s="57"/>
      <x:c r="F121" s="26" t="str">
        <x:f>IF(E121="","",CHOOSE(MOD(E121-1,7)+1,"寒霜日","流水日","泥土日","風暴日","火焰日","狂野日","眾神日"))</x:f>
      </x:c>
      <x:c r="G121" s="26" t="str">
        <x:f>IF(OR(B121="",C121="",E121=""),"",B121&amp;" S.T. · "&amp;C121&amp;" · "&amp;D121&amp;" · "&amp;F121)</x:f>
      </x:c>
      <x:c r="H121" s="28"/>
      <x:c r="I121" s="58"/>
      <x:c r="J121" s="28"/>
      <x:c r="K121" s="28"/>
      <x:c r="L121" s="28"/>
      <x:c r="M121" s="28"/>
      <x:c r="N121" s="28"/>
      <x:c r="O121" s="28"/>
      <x:c r="P121" s="58"/>
      <x:c r="Q121" s="28"/>
      <x:c r="R121" s="33" t="str">
        <x:f>IF(OR(B121="",C121="",E121=""),"",B121*294+CHOOSE(MATCH(C121,{"海洋季","火焰季","大地季","黑暗季","風暴季","聖季期"},0),0,56,112,168,224,280)+E121)</x:f>
      </x:c>
    </x:row>
    <x:row r="122" ht="38" customHeight="1">
      <x:c r="A122" s="33"/>
      <x:c r="B122" s="57"/>
      <x:c r="C122" s="58"/>
      <x:c r="D122" s="26" t="str">
        <x:f>IF(C122="","",IF(C122="聖季期",CHOOSE(ROUNDUP(E122/7,0),"幸運週","命運週"),CHOOSE(ROUNDUP(E122/7,0),"混亂週","和諧週","死亡週","豐饒週","停滯週","運動週","幻象週","真理週")))</x:f>
      </x:c>
      <x:c r="E122" s="57"/>
      <x:c r="F122" s="26" t="str">
        <x:f>IF(E122="","",CHOOSE(MOD(E122-1,7)+1,"寒霜日","流水日","泥土日","風暴日","火焰日","狂野日","眾神日"))</x:f>
      </x:c>
      <x:c r="G122" s="26" t="str">
        <x:f>IF(OR(B122="",C122="",E122=""),"",B122&amp;" S.T. · "&amp;C122&amp;" · "&amp;D122&amp;" · "&amp;F122)</x:f>
      </x:c>
      <x:c r="H122" s="28"/>
      <x:c r="I122" s="58"/>
      <x:c r="J122" s="28"/>
      <x:c r="K122" s="28"/>
      <x:c r="L122" s="28"/>
      <x:c r="M122" s="28"/>
      <x:c r="N122" s="28"/>
      <x:c r="O122" s="28"/>
      <x:c r="P122" s="58"/>
      <x:c r="Q122" s="28"/>
      <x:c r="R122" s="33" t="str">
        <x:f>IF(OR(B122="",C122="",E122=""),"",B122*294+CHOOSE(MATCH(C122,{"海洋季","火焰季","大地季","黑暗季","風暴季","聖季期"},0),0,56,112,168,224,280)+E122)</x:f>
      </x:c>
    </x:row>
    <x:row r="123" ht="38" customHeight="1">
      <x:c r="A123" s="33"/>
      <x:c r="B123" s="57"/>
      <x:c r="C123" s="58"/>
      <x:c r="D123" s="26" t="str">
        <x:f>IF(C123="","",IF(C123="聖季期",CHOOSE(ROUNDUP(E123/7,0),"幸運週","命運週"),CHOOSE(ROUNDUP(E123/7,0),"混亂週","和諧週","死亡週","豐饒週","停滯週","運動週","幻象週","真理週")))</x:f>
      </x:c>
      <x:c r="E123" s="57"/>
      <x:c r="F123" s="26" t="str">
        <x:f>IF(E123="","",CHOOSE(MOD(E123-1,7)+1,"寒霜日","流水日","泥土日","風暴日","火焰日","狂野日","眾神日"))</x:f>
      </x:c>
      <x:c r="G123" s="26" t="str">
        <x:f>IF(OR(B123="",C123="",E123=""),"",B123&amp;" S.T. · "&amp;C123&amp;" · "&amp;D123&amp;" · "&amp;F123)</x:f>
      </x:c>
      <x:c r="H123" s="28"/>
      <x:c r="I123" s="58"/>
      <x:c r="J123" s="28"/>
      <x:c r="K123" s="28"/>
      <x:c r="L123" s="28"/>
      <x:c r="M123" s="28"/>
      <x:c r="N123" s="28"/>
      <x:c r="O123" s="28"/>
      <x:c r="P123" s="58"/>
      <x:c r="Q123" s="28"/>
      <x:c r="R123" s="33" t="str">
        <x:f>IF(OR(B123="",C123="",E123=""),"",B123*294+CHOOSE(MATCH(C123,{"海洋季","火焰季","大地季","黑暗季","風暴季","聖季期"},0),0,56,112,168,224,280)+E123)</x:f>
      </x:c>
    </x:row>
    <x:row r="124" ht="38" customHeight="1">
      <x:c r="A124" s="33"/>
      <x:c r="B124" s="57"/>
      <x:c r="C124" s="58"/>
      <x:c r="D124" s="26" t="str">
        <x:f>IF(C124="","",IF(C124="聖季期",CHOOSE(ROUNDUP(E124/7,0),"幸運週","命運週"),CHOOSE(ROUNDUP(E124/7,0),"混亂週","和諧週","死亡週","豐饒週","停滯週","運動週","幻象週","真理週")))</x:f>
      </x:c>
      <x:c r="E124" s="57"/>
      <x:c r="F124" s="26" t="str">
        <x:f>IF(E124="","",CHOOSE(MOD(E124-1,7)+1,"寒霜日","流水日","泥土日","風暴日","火焰日","狂野日","眾神日"))</x:f>
      </x:c>
      <x:c r="G124" s="26" t="str">
        <x:f>IF(OR(B124="",C124="",E124=""),"",B124&amp;" S.T. · "&amp;C124&amp;" · "&amp;D124&amp;" · "&amp;F124)</x:f>
      </x:c>
      <x:c r="H124" s="28"/>
      <x:c r="I124" s="58"/>
      <x:c r="J124" s="28"/>
      <x:c r="K124" s="28"/>
      <x:c r="L124" s="28"/>
      <x:c r="M124" s="28"/>
      <x:c r="N124" s="28"/>
      <x:c r="O124" s="28"/>
      <x:c r="P124" s="58"/>
      <x:c r="Q124" s="28"/>
      <x:c r="R124" s="33" t="str">
        <x:f>IF(OR(B124="",C124="",E124=""),"",B124*294+CHOOSE(MATCH(C124,{"海洋季","火焰季","大地季","黑暗季","風暴季","聖季期"},0),0,56,112,168,224,280)+E124)</x:f>
      </x:c>
    </x:row>
    <x:row r="125" ht="38" customHeight="1">
      <x:c r="A125" s="33"/>
      <x:c r="B125" s="57"/>
      <x:c r="C125" s="58"/>
      <x:c r="D125" s="26" t="str">
        <x:f>IF(C125="","",IF(C125="聖季期",CHOOSE(ROUNDUP(E125/7,0),"幸運週","命運週"),CHOOSE(ROUNDUP(E125/7,0),"混亂週","和諧週","死亡週","豐饒週","停滯週","運動週","幻象週","真理週")))</x:f>
      </x:c>
      <x:c r="E125" s="57"/>
      <x:c r="F125" s="26" t="str">
        <x:f>IF(E125="","",CHOOSE(MOD(E125-1,7)+1,"寒霜日","流水日","泥土日","風暴日","火焰日","狂野日","眾神日"))</x:f>
      </x:c>
      <x:c r="G125" s="26" t="str">
        <x:f>IF(OR(B125="",C125="",E125=""),"",B125&amp;" S.T. · "&amp;C125&amp;" · "&amp;D125&amp;" · "&amp;F125)</x:f>
      </x:c>
      <x:c r="H125" s="28"/>
      <x:c r="I125" s="58"/>
      <x:c r="J125" s="28"/>
      <x:c r="K125" s="28"/>
      <x:c r="L125" s="28"/>
      <x:c r="M125" s="28"/>
      <x:c r="N125" s="28"/>
      <x:c r="O125" s="28"/>
      <x:c r="P125" s="58"/>
      <x:c r="Q125" s="28"/>
      <x:c r="R125" s="33" t="str">
        <x:f>IF(OR(B125="",C125="",E125=""),"",B125*294+CHOOSE(MATCH(C125,{"海洋季","火焰季","大地季","黑暗季","風暴季","聖季期"},0),0,56,112,168,224,280)+E125)</x:f>
      </x:c>
    </x:row>
    <x:row r="126" ht="38" customHeight="1">
      <x:c r="A126" s="33"/>
      <x:c r="B126" s="57"/>
      <x:c r="C126" s="58"/>
      <x:c r="D126" s="26" t="str">
        <x:f>IF(C126="","",IF(C126="聖季期",CHOOSE(ROUNDUP(E126/7,0),"幸運週","命運週"),CHOOSE(ROUNDUP(E126/7,0),"混亂週","和諧週","死亡週","豐饒週","停滯週","運動週","幻象週","真理週")))</x:f>
      </x:c>
      <x:c r="E126" s="57"/>
      <x:c r="F126" s="26" t="str">
        <x:f>IF(E126="","",CHOOSE(MOD(E126-1,7)+1,"寒霜日","流水日","泥土日","風暴日","火焰日","狂野日","眾神日"))</x:f>
      </x:c>
      <x:c r="G126" s="26" t="str">
        <x:f>IF(OR(B126="",C126="",E126=""),"",B126&amp;" S.T. · "&amp;C126&amp;" · "&amp;D126&amp;" · "&amp;F126)</x:f>
      </x:c>
      <x:c r="H126" s="28"/>
      <x:c r="I126" s="58"/>
      <x:c r="J126" s="28"/>
      <x:c r="K126" s="28"/>
      <x:c r="L126" s="28"/>
      <x:c r="M126" s="28"/>
      <x:c r="N126" s="28"/>
      <x:c r="O126" s="28"/>
      <x:c r="P126" s="58"/>
      <x:c r="Q126" s="28"/>
      <x:c r="R126" s="33" t="str">
        <x:f>IF(OR(B126="",C126="",E126=""),"",B126*294+CHOOSE(MATCH(C126,{"海洋季","火焰季","大地季","黑暗季","風暴季","聖季期"},0),0,56,112,168,224,280)+E126)</x:f>
      </x:c>
    </x:row>
    <x:row r="127" ht="38" customHeight="1">
      <x:c r="A127" s="33"/>
      <x:c r="B127" s="57"/>
      <x:c r="C127" s="58"/>
      <x:c r="D127" s="26" t="str">
        <x:f>IF(C127="","",IF(C127="聖季期",CHOOSE(ROUNDUP(E127/7,0),"幸運週","命運週"),CHOOSE(ROUNDUP(E127/7,0),"混亂週","和諧週","死亡週","豐饒週","停滯週","運動週","幻象週","真理週")))</x:f>
      </x:c>
      <x:c r="E127" s="57"/>
      <x:c r="F127" s="26" t="str">
        <x:f>IF(E127="","",CHOOSE(MOD(E127-1,7)+1,"寒霜日","流水日","泥土日","風暴日","火焰日","狂野日","眾神日"))</x:f>
      </x:c>
      <x:c r="G127" s="26" t="str">
        <x:f>IF(OR(B127="",C127="",E127=""),"",B127&amp;" S.T. · "&amp;C127&amp;" · "&amp;D127&amp;" · "&amp;F127)</x:f>
      </x:c>
      <x:c r="H127" s="28"/>
      <x:c r="I127" s="58"/>
      <x:c r="J127" s="28"/>
      <x:c r="K127" s="28"/>
      <x:c r="L127" s="28"/>
      <x:c r="M127" s="28"/>
      <x:c r="N127" s="28"/>
      <x:c r="O127" s="28"/>
      <x:c r="P127" s="58"/>
      <x:c r="Q127" s="28"/>
      <x:c r="R127" s="33" t="str">
        <x:f>IF(OR(B127="",C127="",E127=""),"",B127*294+CHOOSE(MATCH(C127,{"海洋季","火焰季","大地季","黑暗季","風暴季","聖季期"},0),0,56,112,168,224,280)+E127)</x:f>
      </x:c>
    </x:row>
    <x:row r="128" ht="38" customHeight="1">
      <x:c r="A128" s="33"/>
      <x:c r="B128" s="57"/>
      <x:c r="C128" s="58"/>
      <x:c r="D128" s="26" t="str">
        <x:f>IF(C128="","",IF(C128="聖季期",CHOOSE(ROUNDUP(E128/7,0),"幸運週","命運週"),CHOOSE(ROUNDUP(E128/7,0),"混亂週","和諧週","死亡週","豐饒週","停滯週","運動週","幻象週","真理週")))</x:f>
      </x:c>
      <x:c r="E128" s="57"/>
      <x:c r="F128" s="26" t="str">
        <x:f>IF(E128="","",CHOOSE(MOD(E128-1,7)+1,"寒霜日","流水日","泥土日","風暴日","火焰日","狂野日","眾神日"))</x:f>
      </x:c>
      <x:c r="G128" s="26" t="str">
        <x:f>IF(OR(B128="",C128="",E128=""),"",B128&amp;" S.T. · "&amp;C128&amp;" · "&amp;D128&amp;" · "&amp;F128)</x:f>
      </x:c>
      <x:c r="H128" s="28"/>
      <x:c r="I128" s="58"/>
      <x:c r="J128" s="28"/>
      <x:c r="K128" s="28"/>
      <x:c r="L128" s="28"/>
      <x:c r="M128" s="28"/>
      <x:c r="N128" s="28"/>
      <x:c r="O128" s="28"/>
      <x:c r="P128" s="58"/>
      <x:c r="Q128" s="28"/>
      <x:c r="R128" s="33" t="str">
        <x:f>IF(OR(B128="",C128="",E128=""),"",B128*294+CHOOSE(MATCH(C128,{"海洋季","火焰季","大地季","黑暗季","風暴季","聖季期"},0),0,56,112,168,224,280)+E128)</x:f>
      </x:c>
    </x:row>
    <x:row r="129" ht="38" customHeight="1">
      <x:c r="A129" s="33"/>
      <x:c r="B129" s="57"/>
      <x:c r="C129" s="58"/>
      <x:c r="D129" s="26" t="str">
        <x:f>IF(C129="","",IF(C129="聖季期",CHOOSE(ROUNDUP(E129/7,0),"幸運週","命運週"),CHOOSE(ROUNDUP(E129/7,0),"混亂週","和諧週","死亡週","豐饒週","停滯週","運動週","幻象週","真理週")))</x:f>
      </x:c>
      <x:c r="E129" s="57"/>
      <x:c r="F129" s="26" t="str">
        <x:f>IF(E129="","",CHOOSE(MOD(E129-1,7)+1,"寒霜日","流水日","泥土日","風暴日","火焰日","狂野日","眾神日"))</x:f>
      </x:c>
      <x:c r="G129" s="26" t="str">
        <x:f>IF(OR(B129="",C129="",E129=""),"",B129&amp;" S.T. · "&amp;C129&amp;" · "&amp;D129&amp;" · "&amp;F129)</x:f>
      </x:c>
      <x:c r="H129" s="28"/>
      <x:c r="I129" s="58"/>
      <x:c r="J129" s="28"/>
      <x:c r="K129" s="28"/>
      <x:c r="L129" s="28"/>
      <x:c r="M129" s="28"/>
      <x:c r="N129" s="28"/>
      <x:c r="O129" s="28"/>
      <x:c r="P129" s="58"/>
      <x:c r="Q129" s="28"/>
      <x:c r="R129" s="33" t="str">
        <x:f>IF(OR(B129="",C129="",E129=""),"",B129*294+CHOOSE(MATCH(C129,{"海洋季","火焰季","大地季","黑暗季","風暴季","聖季期"},0),0,56,112,168,224,280)+E129)</x:f>
      </x:c>
    </x:row>
    <x:row r="130" ht="38" customHeight="1">
      <x:c r="A130" s="33"/>
      <x:c r="B130" s="57"/>
      <x:c r="C130" s="58"/>
      <x:c r="D130" s="26" t="str">
        <x:f>IF(C130="","",IF(C130="聖季期",CHOOSE(ROUNDUP(E130/7,0),"幸運週","命運週"),CHOOSE(ROUNDUP(E130/7,0),"混亂週","和諧週","死亡週","豐饒週","停滯週","運動週","幻象週","真理週")))</x:f>
      </x:c>
      <x:c r="E130" s="57"/>
      <x:c r="F130" s="26" t="str">
        <x:f>IF(E130="","",CHOOSE(MOD(E130-1,7)+1,"寒霜日","流水日","泥土日","風暴日","火焰日","狂野日","眾神日"))</x:f>
      </x:c>
      <x:c r="G130" s="26" t="str">
        <x:f>IF(OR(B130="",C130="",E130=""),"",B130&amp;" S.T. · "&amp;C130&amp;" · "&amp;D130&amp;" · "&amp;F130)</x:f>
      </x:c>
      <x:c r="H130" s="28"/>
      <x:c r="I130" s="58"/>
      <x:c r="J130" s="28"/>
      <x:c r="K130" s="28"/>
      <x:c r="L130" s="28"/>
      <x:c r="M130" s="28"/>
      <x:c r="N130" s="28"/>
      <x:c r="O130" s="28"/>
      <x:c r="P130" s="58"/>
      <x:c r="Q130" s="28"/>
      <x:c r="R130" s="33" t="str">
        <x:f>IF(OR(B130="",C130="",E130=""),"",B130*294+CHOOSE(MATCH(C130,{"海洋季","火焰季","大地季","黑暗季","風暴季","聖季期"},0),0,56,112,168,224,280)+E130)</x:f>
      </x:c>
    </x:row>
    <x:row r="131" ht="38" customHeight="1">
      <x:c r="A131" s="33"/>
      <x:c r="B131" s="57"/>
      <x:c r="C131" s="58"/>
      <x:c r="D131" s="26" t="str">
        <x:f>IF(C131="","",IF(C131="聖季期",CHOOSE(ROUNDUP(E131/7,0),"幸運週","命運週"),CHOOSE(ROUNDUP(E131/7,0),"混亂週","和諧週","死亡週","豐饒週","停滯週","運動週","幻象週","真理週")))</x:f>
      </x:c>
      <x:c r="E131" s="57"/>
      <x:c r="F131" s="26" t="str">
        <x:f>IF(E131="","",CHOOSE(MOD(E131-1,7)+1,"寒霜日","流水日","泥土日","風暴日","火焰日","狂野日","眾神日"))</x:f>
      </x:c>
      <x:c r="G131" s="26" t="str">
        <x:f>IF(OR(B131="",C131="",E131=""),"",B131&amp;" S.T. · "&amp;C131&amp;" · "&amp;D131&amp;" · "&amp;F131)</x:f>
      </x:c>
      <x:c r="H131" s="28"/>
      <x:c r="I131" s="58"/>
      <x:c r="J131" s="28"/>
      <x:c r="K131" s="28"/>
      <x:c r="L131" s="28"/>
      <x:c r="M131" s="28"/>
      <x:c r="N131" s="28"/>
      <x:c r="O131" s="28"/>
      <x:c r="P131" s="58"/>
      <x:c r="Q131" s="28"/>
      <x:c r="R131" s="33" t="str">
        <x:f>IF(OR(B131="",C131="",E131=""),"",B131*294+CHOOSE(MATCH(C131,{"海洋季","火焰季","大地季","黑暗季","風暴季","聖季期"},0),0,56,112,168,224,280)+E131)</x:f>
      </x:c>
    </x:row>
    <x:row r="132" ht="38" customHeight="1">
      <x:c r="A132" s="33"/>
      <x:c r="B132" s="57"/>
      <x:c r="C132" s="58"/>
      <x:c r="D132" s="26" t="str">
        <x:f>IF(C132="","",IF(C132="聖季期",CHOOSE(ROUNDUP(E132/7,0),"幸運週","命運週"),CHOOSE(ROUNDUP(E132/7,0),"混亂週","和諧週","死亡週","豐饒週","停滯週","運動週","幻象週","真理週")))</x:f>
      </x:c>
      <x:c r="E132" s="57"/>
      <x:c r="F132" s="26" t="str">
        <x:f>IF(E132="","",CHOOSE(MOD(E132-1,7)+1,"寒霜日","流水日","泥土日","風暴日","火焰日","狂野日","眾神日"))</x:f>
      </x:c>
      <x:c r="G132" s="26" t="str">
        <x:f>IF(OR(B132="",C132="",E132=""),"",B132&amp;" S.T. · "&amp;C132&amp;" · "&amp;D132&amp;" · "&amp;F132)</x:f>
      </x:c>
      <x:c r="H132" s="28"/>
      <x:c r="I132" s="58"/>
      <x:c r="J132" s="28"/>
      <x:c r="K132" s="28"/>
      <x:c r="L132" s="28"/>
      <x:c r="M132" s="28"/>
      <x:c r="N132" s="28"/>
      <x:c r="O132" s="28"/>
      <x:c r="P132" s="58"/>
      <x:c r="Q132" s="28"/>
      <x:c r="R132" s="33" t="str">
        <x:f>IF(OR(B132="",C132="",E132=""),"",B132*294+CHOOSE(MATCH(C132,{"海洋季","火焰季","大地季","黑暗季","風暴季","聖季期"},0),0,56,112,168,224,280)+E132)</x:f>
      </x:c>
    </x:row>
    <x:row r="133" ht="38" customHeight="1">
      <x:c r="A133" s="33"/>
      <x:c r="B133" s="57"/>
      <x:c r="C133" s="58"/>
      <x:c r="D133" s="26" t="str">
        <x:f>IF(C133="","",IF(C133="聖季期",CHOOSE(ROUNDUP(E133/7,0),"幸運週","命運週"),CHOOSE(ROUNDUP(E133/7,0),"混亂週","和諧週","死亡週","豐饒週","停滯週","運動週","幻象週","真理週")))</x:f>
      </x:c>
      <x:c r="E133" s="57"/>
      <x:c r="F133" s="26" t="str">
        <x:f>IF(E133="","",CHOOSE(MOD(E133-1,7)+1,"寒霜日","流水日","泥土日","風暴日","火焰日","狂野日","眾神日"))</x:f>
      </x:c>
      <x:c r="G133" s="26" t="str">
        <x:f>IF(OR(B133="",C133="",E133=""),"",B133&amp;" S.T. · "&amp;C133&amp;" · "&amp;D133&amp;" · "&amp;F133)</x:f>
      </x:c>
      <x:c r="H133" s="28"/>
      <x:c r="I133" s="58"/>
      <x:c r="J133" s="28"/>
      <x:c r="K133" s="28"/>
      <x:c r="L133" s="28"/>
      <x:c r="M133" s="28"/>
      <x:c r="N133" s="28"/>
      <x:c r="O133" s="28"/>
      <x:c r="P133" s="58"/>
      <x:c r="Q133" s="28"/>
      <x:c r="R133" s="33" t="str">
        <x:f>IF(OR(B133="",C133="",E133=""),"",B133*294+CHOOSE(MATCH(C133,{"海洋季","火焰季","大地季","黑暗季","風暴季","聖季期"},0),0,56,112,168,224,280)+E133)</x:f>
      </x:c>
    </x:row>
    <x:row r="134" ht="38" customHeight="1">
      <x:c r="A134" s="33"/>
      <x:c r="B134" s="57"/>
      <x:c r="C134" s="58"/>
      <x:c r="D134" s="26" t="str">
        <x:f>IF(C134="","",IF(C134="聖季期",CHOOSE(ROUNDUP(E134/7,0),"幸運週","命運週"),CHOOSE(ROUNDUP(E134/7,0),"混亂週","和諧週","死亡週","豐饒週","停滯週","運動週","幻象週","真理週")))</x:f>
      </x:c>
      <x:c r="E134" s="57"/>
      <x:c r="F134" s="26" t="str">
        <x:f>IF(E134="","",CHOOSE(MOD(E134-1,7)+1,"寒霜日","流水日","泥土日","風暴日","火焰日","狂野日","眾神日"))</x:f>
      </x:c>
      <x:c r="G134" s="26" t="str">
        <x:f>IF(OR(B134="",C134="",E134=""),"",B134&amp;" S.T. · "&amp;C134&amp;" · "&amp;D134&amp;" · "&amp;F134)</x:f>
      </x:c>
      <x:c r="H134" s="28"/>
      <x:c r="I134" s="58"/>
      <x:c r="J134" s="28"/>
      <x:c r="K134" s="28"/>
      <x:c r="L134" s="28"/>
      <x:c r="M134" s="28"/>
      <x:c r="N134" s="28"/>
      <x:c r="O134" s="28"/>
      <x:c r="P134" s="58"/>
      <x:c r="Q134" s="28"/>
      <x:c r="R134" s="33" t="str">
        <x:f>IF(OR(B134="",C134="",E134=""),"",B134*294+CHOOSE(MATCH(C134,{"海洋季","火焰季","大地季","黑暗季","風暴季","聖季期"},0),0,56,112,168,224,280)+E134)</x:f>
      </x:c>
    </x:row>
    <x:row r="135" ht="38" customHeight="1">
      <x:c r="A135" s="33"/>
      <x:c r="B135" s="57"/>
      <x:c r="C135" s="58"/>
      <x:c r="D135" s="26" t="str">
        <x:f>IF(C135="","",IF(C135="聖季期",CHOOSE(ROUNDUP(E135/7,0),"幸運週","命運週"),CHOOSE(ROUNDUP(E135/7,0),"混亂週","和諧週","死亡週","豐饒週","停滯週","運動週","幻象週","真理週")))</x:f>
      </x:c>
      <x:c r="E135" s="57"/>
      <x:c r="F135" s="26" t="str">
        <x:f>IF(E135="","",CHOOSE(MOD(E135-1,7)+1,"寒霜日","流水日","泥土日","風暴日","火焰日","狂野日","眾神日"))</x:f>
      </x:c>
      <x:c r="G135" s="26" t="str">
        <x:f>IF(OR(B135="",C135="",E135=""),"",B135&amp;" S.T. · "&amp;C135&amp;" · "&amp;D135&amp;" · "&amp;F135)</x:f>
      </x:c>
      <x:c r="H135" s="28"/>
      <x:c r="I135" s="58"/>
      <x:c r="J135" s="28"/>
      <x:c r="K135" s="28"/>
      <x:c r="L135" s="28"/>
      <x:c r="M135" s="28"/>
      <x:c r="N135" s="28"/>
      <x:c r="O135" s="28"/>
      <x:c r="P135" s="58"/>
      <x:c r="Q135" s="28"/>
      <x:c r="R135" s="33" t="str">
        <x:f>IF(OR(B135="",C135="",E135=""),"",B135*294+CHOOSE(MATCH(C135,{"海洋季","火焰季","大地季","黑暗季","風暴季","聖季期"},0),0,56,112,168,224,280)+E135)</x:f>
      </x:c>
    </x:row>
    <x:row r="136" ht="38" customHeight="1">
      <x:c r="A136" s="33"/>
      <x:c r="B136" s="57"/>
      <x:c r="C136" s="58"/>
      <x:c r="D136" s="26" t="str">
        <x:f>IF(C136="","",IF(C136="聖季期",CHOOSE(ROUNDUP(E136/7,0),"幸運週","命運週"),CHOOSE(ROUNDUP(E136/7,0),"混亂週","和諧週","死亡週","豐饒週","停滯週","運動週","幻象週","真理週")))</x:f>
      </x:c>
      <x:c r="E136" s="57"/>
      <x:c r="F136" s="26" t="str">
        <x:f>IF(E136="","",CHOOSE(MOD(E136-1,7)+1,"寒霜日","流水日","泥土日","風暴日","火焰日","狂野日","眾神日"))</x:f>
      </x:c>
      <x:c r="G136" s="26" t="str">
        <x:f>IF(OR(B136="",C136="",E136=""),"",B136&amp;" S.T. · "&amp;C136&amp;" · "&amp;D136&amp;" · "&amp;F136)</x:f>
      </x:c>
      <x:c r="H136" s="28"/>
      <x:c r="I136" s="58"/>
      <x:c r="J136" s="28"/>
      <x:c r="K136" s="28"/>
      <x:c r="L136" s="28"/>
      <x:c r="M136" s="28"/>
      <x:c r="N136" s="28"/>
      <x:c r="O136" s="28"/>
      <x:c r="P136" s="58"/>
      <x:c r="Q136" s="28"/>
      <x:c r="R136" s="33" t="str">
        <x:f>IF(OR(B136="",C136="",E136=""),"",B136*294+CHOOSE(MATCH(C136,{"海洋季","火焰季","大地季","黑暗季","風暴季","聖季期"},0),0,56,112,168,224,280)+E136)</x:f>
      </x:c>
    </x:row>
    <x:row r="137" ht="38" customHeight="1">
      <x:c r="A137" s="33"/>
      <x:c r="B137" s="57"/>
      <x:c r="C137" s="58"/>
      <x:c r="D137" s="26" t="str">
        <x:f>IF(C137="","",IF(C137="聖季期",CHOOSE(ROUNDUP(E137/7,0),"幸運週","命運週"),CHOOSE(ROUNDUP(E137/7,0),"混亂週","和諧週","死亡週","豐饒週","停滯週","運動週","幻象週","真理週")))</x:f>
      </x:c>
      <x:c r="E137" s="57"/>
      <x:c r="F137" s="26" t="str">
        <x:f>IF(E137="","",CHOOSE(MOD(E137-1,7)+1,"寒霜日","流水日","泥土日","風暴日","火焰日","狂野日","眾神日"))</x:f>
      </x:c>
      <x:c r="G137" s="26" t="str">
        <x:f>IF(OR(B137="",C137="",E137=""),"",B137&amp;" S.T. · "&amp;C137&amp;" · "&amp;D137&amp;" · "&amp;F137)</x:f>
      </x:c>
      <x:c r="H137" s="28"/>
      <x:c r="I137" s="58"/>
      <x:c r="J137" s="28"/>
      <x:c r="K137" s="28"/>
      <x:c r="L137" s="28"/>
      <x:c r="M137" s="28"/>
      <x:c r="N137" s="28"/>
      <x:c r="O137" s="28"/>
      <x:c r="P137" s="58"/>
      <x:c r="Q137" s="28"/>
      <x:c r="R137" s="33" t="str">
        <x:f>IF(OR(B137="",C137="",E137=""),"",B137*294+CHOOSE(MATCH(C137,{"海洋季","火焰季","大地季","黑暗季","風暴季","聖季期"},0),0,56,112,168,224,280)+E137)</x:f>
      </x:c>
    </x:row>
    <x:row r="138" ht="38" customHeight="1">
      <x:c r="A138" s="33"/>
      <x:c r="B138" s="57"/>
      <x:c r="C138" s="58"/>
      <x:c r="D138" s="26" t="str">
        <x:f>IF(C138="","",IF(C138="聖季期",CHOOSE(ROUNDUP(E138/7,0),"幸運週","命運週"),CHOOSE(ROUNDUP(E138/7,0),"混亂週","和諧週","死亡週","豐饒週","停滯週","運動週","幻象週","真理週")))</x:f>
      </x:c>
      <x:c r="E138" s="57"/>
      <x:c r="F138" s="26" t="str">
        <x:f>IF(E138="","",CHOOSE(MOD(E138-1,7)+1,"寒霜日","流水日","泥土日","風暴日","火焰日","狂野日","眾神日"))</x:f>
      </x:c>
      <x:c r="G138" s="26" t="str">
        <x:f>IF(OR(B138="",C138="",E138=""),"",B138&amp;" S.T. · "&amp;C138&amp;" · "&amp;D138&amp;" · "&amp;F138)</x:f>
      </x:c>
      <x:c r="H138" s="28"/>
      <x:c r="I138" s="58"/>
      <x:c r="J138" s="28"/>
      <x:c r="K138" s="28"/>
      <x:c r="L138" s="28"/>
      <x:c r="M138" s="28"/>
      <x:c r="N138" s="28"/>
      <x:c r="O138" s="28"/>
      <x:c r="P138" s="58"/>
      <x:c r="Q138" s="28"/>
      <x:c r="R138" s="33" t="str">
        <x:f>IF(OR(B138="",C138="",E138=""),"",B138*294+CHOOSE(MATCH(C138,{"海洋季","火焰季","大地季","黑暗季","風暴季","聖季期"},0),0,56,112,168,224,280)+E138)</x:f>
      </x:c>
    </x:row>
    <x:row r="139" ht="38" customHeight="1">
      <x:c r="A139" s="33"/>
      <x:c r="B139" s="57"/>
      <x:c r="C139" s="58"/>
      <x:c r="D139" s="26" t="str">
        <x:f>IF(C139="","",IF(C139="聖季期",CHOOSE(ROUNDUP(E139/7,0),"幸運週","命運週"),CHOOSE(ROUNDUP(E139/7,0),"混亂週","和諧週","死亡週","豐饒週","停滯週","運動週","幻象週","真理週")))</x:f>
      </x:c>
      <x:c r="E139" s="57"/>
      <x:c r="F139" s="26" t="str">
        <x:f>IF(E139="","",CHOOSE(MOD(E139-1,7)+1,"寒霜日","流水日","泥土日","風暴日","火焰日","狂野日","眾神日"))</x:f>
      </x:c>
      <x:c r="G139" s="26" t="str">
        <x:f>IF(OR(B139="",C139="",E139=""),"",B139&amp;" S.T. · "&amp;C139&amp;" · "&amp;D139&amp;" · "&amp;F139)</x:f>
      </x:c>
      <x:c r="H139" s="28"/>
      <x:c r="I139" s="58"/>
      <x:c r="J139" s="28"/>
      <x:c r="K139" s="28"/>
      <x:c r="L139" s="28"/>
      <x:c r="M139" s="28"/>
      <x:c r="N139" s="28"/>
      <x:c r="O139" s="28"/>
      <x:c r="P139" s="58"/>
      <x:c r="Q139" s="28"/>
      <x:c r="R139" s="33" t="str">
        <x:f>IF(OR(B139="",C139="",E139=""),"",B139*294+CHOOSE(MATCH(C139,{"海洋季","火焰季","大地季","黑暗季","風暴季","聖季期"},0),0,56,112,168,224,280)+E139)</x:f>
      </x:c>
    </x:row>
    <x:row r="140" ht="38" customHeight="1">
      <x:c r="A140" s="33"/>
      <x:c r="B140" s="57"/>
      <x:c r="C140" s="58"/>
      <x:c r="D140" s="26" t="str">
        <x:f>IF(C140="","",IF(C140="聖季期",CHOOSE(ROUNDUP(E140/7,0),"幸運週","命運週"),CHOOSE(ROUNDUP(E140/7,0),"混亂週","和諧週","死亡週","豐饒週","停滯週","運動週","幻象週","真理週")))</x:f>
      </x:c>
      <x:c r="E140" s="57"/>
      <x:c r="F140" s="26" t="str">
        <x:f>IF(E140="","",CHOOSE(MOD(E140-1,7)+1,"寒霜日","流水日","泥土日","風暴日","火焰日","狂野日","眾神日"))</x:f>
      </x:c>
      <x:c r="G140" s="26" t="str">
        <x:f>IF(OR(B140="",C140="",E140=""),"",B140&amp;" S.T. · "&amp;C140&amp;" · "&amp;D140&amp;" · "&amp;F140)</x:f>
      </x:c>
      <x:c r="H140" s="28"/>
      <x:c r="I140" s="58"/>
      <x:c r="J140" s="28"/>
      <x:c r="K140" s="28"/>
      <x:c r="L140" s="28"/>
      <x:c r="M140" s="28"/>
      <x:c r="N140" s="28"/>
      <x:c r="O140" s="28"/>
      <x:c r="P140" s="58"/>
      <x:c r="Q140" s="28"/>
      <x:c r="R140" s="33" t="str">
        <x:f>IF(OR(B140="",C140="",E140=""),"",B140*294+CHOOSE(MATCH(C140,{"海洋季","火焰季","大地季","黑暗季","風暴季","聖季期"},0),0,56,112,168,224,280)+E140)</x:f>
      </x:c>
    </x:row>
    <x:row r="141" ht="38" customHeight="1">
      <x:c r="A141" s="33"/>
      <x:c r="B141" s="57"/>
      <x:c r="C141" s="58"/>
      <x:c r="D141" s="26" t="str">
        <x:f>IF(C141="","",IF(C141="聖季期",CHOOSE(ROUNDUP(E141/7,0),"幸運週","命運週"),CHOOSE(ROUNDUP(E141/7,0),"混亂週","和諧週","死亡週","豐饒週","停滯週","運動週","幻象週","真理週")))</x:f>
      </x:c>
      <x:c r="E141" s="57"/>
      <x:c r="F141" s="26" t="str">
        <x:f>IF(E141="","",CHOOSE(MOD(E141-1,7)+1,"寒霜日","流水日","泥土日","風暴日","火焰日","狂野日","眾神日"))</x:f>
      </x:c>
      <x:c r="G141" s="26" t="str">
        <x:f>IF(OR(B141="",C141="",E141=""),"",B141&amp;" S.T. · "&amp;C141&amp;" · "&amp;D141&amp;" · "&amp;F141)</x:f>
      </x:c>
      <x:c r="H141" s="28"/>
      <x:c r="I141" s="58"/>
      <x:c r="J141" s="28"/>
      <x:c r="K141" s="28"/>
      <x:c r="L141" s="28"/>
      <x:c r="M141" s="28"/>
      <x:c r="N141" s="28"/>
      <x:c r="O141" s="28"/>
      <x:c r="P141" s="58"/>
      <x:c r="Q141" s="28"/>
      <x:c r="R141" s="33" t="str">
        <x:f>IF(OR(B141="",C141="",E141=""),"",B141*294+CHOOSE(MATCH(C141,{"海洋季","火焰季","大地季","黑暗季","風暴季","聖季期"},0),0,56,112,168,224,280)+E141)</x:f>
      </x:c>
    </x:row>
    <x:row r="142" ht="38" customHeight="1">
      <x:c r="A142" s="33"/>
      <x:c r="B142" s="57"/>
      <x:c r="C142" s="58"/>
      <x:c r="D142" s="26" t="str">
        <x:f>IF(C142="","",IF(C142="聖季期",CHOOSE(ROUNDUP(E142/7,0),"幸運週","命運週"),CHOOSE(ROUNDUP(E142/7,0),"混亂週","和諧週","死亡週","豐饒週","停滯週","運動週","幻象週","真理週")))</x:f>
      </x:c>
      <x:c r="E142" s="57"/>
      <x:c r="F142" s="26" t="str">
        <x:f>IF(E142="","",CHOOSE(MOD(E142-1,7)+1,"寒霜日","流水日","泥土日","風暴日","火焰日","狂野日","眾神日"))</x:f>
      </x:c>
      <x:c r="G142" s="26" t="str">
        <x:f>IF(OR(B142="",C142="",E142=""),"",B142&amp;" S.T. · "&amp;C142&amp;" · "&amp;D142&amp;" · "&amp;F142)</x:f>
      </x:c>
      <x:c r="H142" s="28"/>
      <x:c r="I142" s="58"/>
      <x:c r="J142" s="28"/>
      <x:c r="K142" s="28"/>
      <x:c r="L142" s="28"/>
      <x:c r="M142" s="28"/>
      <x:c r="N142" s="28"/>
      <x:c r="O142" s="28"/>
      <x:c r="P142" s="58"/>
      <x:c r="Q142" s="28"/>
      <x:c r="R142" s="33" t="str">
        <x:f>IF(OR(B142="",C142="",E142=""),"",B142*294+CHOOSE(MATCH(C142,{"海洋季","火焰季","大地季","黑暗季","風暴季","聖季期"},0),0,56,112,168,224,280)+E142)</x:f>
      </x:c>
    </x:row>
    <x:row r="143" ht="38" customHeight="1">
      <x:c r="A143" s="33"/>
      <x:c r="B143" s="57"/>
      <x:c r="C143" s="58"/>
      <x:c r="D143" s="26" t="str">
        <x:f>IF(C143="","",IF(C143="聖季期",CHOOSE(ROUNDUP(E143/7,0),"幸運週","命運週"),CHOOSE(ROUNDUP(E143/7,0),"混亂週","和諧週","死亡週","豐饒週","停滯週","運動週","幻象週","真理週")))</x:f>
      </x:c>
      <x:c r="E143" s="57"/>
      <x:c r="F143" s="26" t="str">
        <x:f>IF(E143="","",CHOOSE(MOD(E143-1,7)+1,"寒霜日","流水日","泥土日","風暴日","火焰日","狂野日","眾神日"))</x:f>
      </x:c>
      <x:c r="G143" s="26" t="str">
        <x:f>IF(OR(B143="",C143="",E143=""),"",B143&amp;" S.T. · "&amp;C143&amp;" · "&amp;D143&amp;" · "&amp;F143)</x:f>
      </x:c>
      <x:c r="H143" s="28"/>
      <x:c r="I143" s="58"/>
      <x:c r="J143" s="28"/>
      <x:c r="K143" s="28"/>
      <x:c r="L143" s="28"/>
      <x:c r="M143" s="28"/>
      <x:c r="N143" s="28"/>
      <x:c r="O143" s="28"/>
      <x:c r="P143" s="58"/>
      <x:c r="Q143" s="28"/>
      <x:c r="R143" s="33" t="str">
        <x:f>IF(OR(B143="",C143="",E143=""),"",B143*294+CHOOSE(MATCH(C143,{"海洋季","火焰季","大地季","黑暗季","風暴季","聖季期"},0),0,56,112,168,224,280)+E143)</x:f>
      </x:c>
    </x:row>
    <x:row r="144" ht="38" customHeight="1">
      <x:c r="A144" s="33"/>
      <x:c r="B144" s="57"/>
      <x:c r="C144" s="58"/>
      <x:c r="D144" s="26" t="str">
        <x:f>IF(C144="","",IF(C144="聖季期",CHOOSE(ROUNDUP(E144/7,0),"幸運週","命運週"),CHOOSE(ROUNDUP(E144/7,0),"混亂週","和諧週","死亡週","豐饒週","停滯週","運動週","幻象週","真理週")))</x:f>
      </x:c>
      <x:c r="E144" s="57"/>
      <x:c r="F144" s="26" t="str">
        <x:f>IF(E144="","",CHOOSE(MOD(E144-1,7)+1,"寒霜日","流水日","泥土日","風暴日","火焰日","狂野日","眾神日"))</x:f>
      </x:c>
      <x:c r="G144" s="26" t="str">
        <x:f>IF(OR(B144="",C144="",E144=""),"",B144&amp;" S.T. · "&amp;C144&amp;" · "&amp;D144&amp;" · "&amp;F144)</x:f>
      </x:c>
      <x:c r="H144" s="28"/>
      <x:c r="I144" s="58"/>
      <x:c r="J144" s="28"/>
      <x:c r="K144" s="28"/>
      <x:c r="L144" s="28"/>
      <x:c r="M144" s="28"/>
      <x:c r="N144" s="28"/>
      <x:c r="O144" s="28"/>
      <x:c r="P144" s="58"/>
      <x:c r="Q144" s="28"/>
      <x:c r="R144" s="33" t="str">
        <x:f>IF(OR(B144="",C144="",E144=""),"",B144*294+CHOOSE(MATCH(C144,{"海洋季","火焰季","大地季","黑暗季","風暴季","聖季期"},0),0,56,112,168,224,280)+E144)</x:f>
      </x:c>
    </x:row>
    <x:row r="145" ht="38" customHeight="1">
      <x:c r="A145" s="33"/>
      <x:c r="B145" s="57"/>
      <x:c r="C145" s="58"/>
      <x:c r="D145" s="26" t="str">
        <x:f>IF(C145="","",IF(C145="聖季期",CHOOSE(ROUNDUP(E145/7,0),"幸運週","命運週"),CHOOSE(ROUNDUP(E145/7,0),"混亂週","和諧週","死亡週","豐饒週","停滯週","運動週","幻象週","真理週")))</x:f>
      </x:c>
      <x:c r="E145" s="57"/>
      <x:c r="F145" s="26" t="str">
        <x:f>IF(E145="","",CHOOSE(MOD(E145-1,7)+1,"寒霜日","流水日","泥土日","風暴日","火焰日","狂野日","眾神日"))</x:f>
      </x:c>
      <x:c r="G145" s="26" t="str">
        <x:f>IF(OR(B145="",C145="",E145=""),"",B145&amp;" S.T. · "&amp;C145&amp;" · "&amp;D145&amp;" · "&amp;F145)</x:f>
      </x:c>
      <x:c r="H145" s="28"/>
      <x:c r="I145" s="58"/>
      <x:c r="J145" s="28"/>
      <x:c r="K145" s="28"/>
      <x:c r="L145" s="28"/>
      <x:c r="M145" s="28"/>
      <x:c r="N145" s="28"/>
      <x:c r="O145" s="28"/>
      <x:c r="P145" s="58"/>
      <x:c r="Q145" s="28"/>
      <x:c r="R145" s="33" t="str">
        <x:f>IF(OR(B145="",C145="",E145=""),"",B145*294+CHOOSE(MATCH(C145,{"海洋季","火焰季","大地季","黑暗季","風暴季","聖季期"},0),0,56,112,168,224,280)+E145)</x:f>
      </x:c>
    </x:row>
    <x:row r="146" ht="38" customHeight="1">
      <x:c r="A146" s="33"/>
      <x:c r="B146" s="57"/>
      <x:c r="C146" s="58"/>
      <x:c r="D146" s="26" t="str">
        <x:f>IF(C146="","",IF(C146="聖季期",CHOOSE(ROUNDUP(E146/7,0),"幸運週","命運週"),CHOOSE(ROUNDUP(E146/7,0),"混亂週","和諧週","死亡週","豐饒週","停滯週","運動週","幻象週","真理週")))</x:f>
      </x:c>
      <x:c r="E146" s="57"/>
      <x:c r="F146" s="26" t="str">
        <x:f>IF(E146="","",CHOOSE(MOD(E146-1,7)+1,"寒霜日","流水日","泥土日","風暴日","火焰日","狂野日","眾神日"))</x:f>
      </x:c>
      <x:c r="G146" s="26" t="str">
        <x:f>IF(OR(B146="",C146="",E146=""),"",B146&amp;" S.T. · "&amp;C146&amp;" · "&amp;D146&amp;" · "&amp;F146)</x:f>
      </x:c>
      <x:c r="H146" s="28"/>
      <x:c r="I146" s="58"/>
      <x:c r="J146" s="28"/>
      <x:c r="K146" s="28"/>
      <x:c r="L146" s="28"/>
      <x:c r="M146" s="28"/>
      <x:c r="N146" s="28"/>
      <x:c r="O146" s="28"/>
      <x:c r="P146" s="58"/>
      <x:c r="Q146" s="28"/>
      <x:c r="R146" s="33" t="str">
        <x:f>IF(OR(B146="",C146="",E146=""),"",B146*294+CHOOSE(MATCH(C146,{"海洋季","火焰季","大地季","黑暗季","風暴季","聖季期"},0),0,56,112,168,224,280)+E146)</x:f>
      </x:c>
    </x:row>
    <x:row r="147" ht="38" customHeight="1">
      <x:c r="A147" s="33"/>
      <x:c r="B147" s="57"/>
      <x:c r="C147" s="58"/>
      <x:c r="D147" s="26" t="str">
        <x:f>IF(C147="","",IF(C147="聖季期",CHOOSE(ROUNDUP(E147/7,0),"幸運週","命運週"),CHOOSE(ROUNDUP(E147/7,0),"混亂週","和諧週","死亡週","豐饒週","停滯週","運動週","幻象週","真理週")))</x:f>
      </x:c>
      <x:c r="E147" s="57"/>
      <x:c r="F147" s="26" t="str">
        <x:f>IF(E147="","",CHOOSE(MOD(E147-1,7)+1,"寒霜日","流水日","泥土日","風暴日","火焰日","狂野日","眾神日"))</x:f>
      </x:c>
      <x:c r="G147" s="26" t="str">
        <x:f>IF(OR(B147="",C147="",E147=""),"",B147&amp;" S.T. · "&amp;C147&amp;" · "&amp;D147&amp;" · "&amp;F147)</x:f>
      </x:c>
      <x:c r="H147" s="28"/>
      <x:c r="I147" s="58"/>
      <x:c r="J147" s="28"/>
      <x:c r="K147" s="28"/>
      <x:c r="L147" s="28"/>
      <x:c r="M147" s="28"/>
      <x:c r="N147" s="28"/>
      <x:c r="O147" s="28"/>
      <x:c r="P147" s="58"/>
      <x:c r="Q147" s="28"/>
      <x:c r="R147" s="33" t="str">
        <x:f>IF(OR(B147="",C147="",E147=""),"",B147*294+CHOOSE(MATCH(C147,{"海洋季","火焰季","大地季","黑暗季","風暴季","聖季期"},0),0,56,112,168,224,280)+E147)</x:f>
      </x:c>
    </x:row>
    <x:row r="148" ht="38" customHeight="1">
      <x:c r="A148" s="33"/>
      <x:c r="B148" s="57"/>
      <x:c r="C148" s="58"/>
      <x:c r="D148" s="26" t="str">
        <x:f>IF(C148="","",IF(C148="聖季期",CHOOSE(ROUNDUP(E148/7,0),"幸運週","命運週"),CHOOSE(ROUNDUP(E148/7,0),"混亂週","和諧週","死亡週","豐饒週","停滯週","運動週","幻象週","真理週")))</x:f>
      </x:c>
      <x:c r="E148" s="57"/>
      <x:c r="F148" s="26" t="str">
        <x:f>IF(E148="","",CHOOSE(MOD(E148-1,7)+1,"寒霜日","流水日","泥土日","風暴日","火焰日","狂野日","眾神日"))</x:f>
      </x:c>
      <x:c r="G148" s="26" t="str">
        <x:f>IF(OR(B148="",C148="",E148=""),"",B148&amp;" S.T. · "&amp;C148&amp;" · "&amp;D148&amp;" · "&amp;F148)</x:f>
      </x:c>
      <x:c r="H148" s="28"/>
      <x:c r="I148" s="58"/>
      <x:c r="J148" s="28"/>
      <x:c r="K148" s="28"/>
      <x:c r="L148" s="28"/>
      <x:c r="M148" s="28"/>
      <x:c r="N148" s="28"/>
      <x:c r="O148" s="28"/>
      <x:c r="P148" s="58"/>
      <x:c r="Q148" s="28"/>
      <x:c r="R148" s="33" t="str">
        <x:f>IF(OR(B148="",C148="",E148=""),"",B148*294+CHOOSE(MATCH(C148,{"海洋季","火焰季","大地季","黑暗季","風暴季","聖季期"},0),0,56,112,168,224,280)+E148)</x:f>
      </x:c>
    </x:row>
    <x:row r="149" ht="38" customHeight="1">
      <x:c r="A149" s="33"/>
      <x:c r="B149" s="57"/>
      <x:c r="C149" s="58"/>
      <x:c r="D149" s="26" t="str">
        <x:f>IF(C149="","",IF(C149="聖季期",CHOOSE(ROUNDUP(E149/7,0),"幸運週","命運週"),CHOOSE(ROUNDUP(E149/7,0),"混亂週","和諧週","死亡週","豐饒週","停滯週","運動週","幻象週","真理週")))</x:f>
      </x:c>
      <x:c r="E149" s="57"/>
      <x:c r="F149" s="26" t="str">
        <x:f>IF(E149="","",CHOOSE(MOD(E149-1,7)+1,"寒霜日","流水日","泥土日","風暴日","火焰日","狂野日","眾神日"))</x:f>
      </x:c>
      <x:c r="G149" s="26" t="str">
        <x:f>IF(OR(B149="",C149="",E149=""),"",B149&amp;" S.T. · "&amp;C149&amp;" · "&amp;D149&amp;" · "&amp;F149)</x:f>
      </x:c>
      <x:c r="H149" s="28"/>
      <x:c r="I149" s="58"/>
      <x:c r="J149" s="28"/>
      <x:c r="K149" s="28"/>
      <x:c r="L149" s="28"/>
      <x:c r="M149" s="28"/>
      <x:c r="N149" s="28"/>
      <x:c r="O149" s="28"/>
      <x:c r="P149" s="58"/>
      <x:c r="Q149" s="28"/>
      <x:c r="R149" s="33" t="str">
        <x:f>IF(OR(B149="",C149="",E149=""),"",B149*294+CHOOSE(MATCH(C149,{"海洋季","火焰季","大地季","黑暗季","風暴季","聖季期"},0),0,56,112,168,224,280)+E149)</x:f>
      </x:c>
    </x:row>
    <x:row r="150" ht="38" customHeight="1">
      <x:c r="A150" s="33"/>
      <x:c r="B150" s="57"/>
      <x:c r="C150" s="58"/>
      <x:c r="D150" s="26" t="str">
        <x:f>IF(C150="","",IF(C150="聖季期",CHOOSE(ROUNDUP(E150/7,0),"幸運週","命運週"),CHOOSE(ROUNDUP(E150/7,0),"混亂週","和諧週","死亡週","豐饒週","停滯週","運動週","幻象週","真理週")))</x:f>
      </x:c>
      <x:c r="E150" s="57"/>
      <x:c r="F150" s="26" t="str">
        <x:f>IF(E150="","",CHOOSE(MOD(E150-1,7)+1,"寒霜日","流水日","泥土日","風暴日","火焰日","狂野日","眾神日"))</x:f>
      </x:c>
      <x:c r="G150" s="26" t="str">
        <x:f>IF(OR(B150="",C150="",E150=""),"",B150&amp;" S.T. · "&amp;C150&amp;" · "&amp;D150&amp;" · "&amp;F150)</x:f>
      </x:c>
      <x:c r="H150" s="28"/>
      <x:c r="I150" s="58"/>
      <x:c r="J150" s="28"/>
      <x:c r="K150" s="28"/>
      <x:c r="L150" s="28"/>
      <x:c r="M150" s="28"/>
      <x:c r="N150" s="28"/>
      <x:c r="O150" s="28"/>
      <x:c r="P150" s="58"/>
      <x:c r="Q150" s="28"/>
      <x:c r="R150" s="33" t="str">
        <x:f>IF(OR(B150="",C150="",E150=""),"",B150*294+CHOOSE(MATCH(C150,{"海洋季","火焰季","大地季","黑暗季","風暴季","聖季期"},0),0,56,112,168,224,280)+E150)</x:f>
      </x:c>
    </x:row>
    <x:row r="151" ht="38" customHeight="1">
      <x:c r="A151" s="33"/>
      <x:c r="B151" s="57"/>
      <x:c r="C151" s="58"/>
      <x:c r="D151" s="26" t="str">
        <x:f>IF(C151="","",IF(C151="聖季期",CHOOSE(ROUNDUP(E151/7,0),"幸運週","命運週"),CHOOSE(ROUNDUP(E151/7,0),"混亂週","和諧週","死亡週","豐饒週","停滯週","運動週","幻象週","真理週")))</x:f>
      </x:c>
      <x:c r="E151" s="57"/>
      <x:c r="F151" s="26" t="str">
        <x:f>IF(E151="","",CHOOSE(MOD(E151-1,7)+1,"寒霜日","流水日","泥土日","風暴日","火焰日","狂野日","眾神日"))</x:f>
      </x:c>
      <x:c r="G151" s="26" t="str">
        <x:f>IF(OR(B151="",C151="",E151=""),"",B151&amp;" S.T. · "&amp;C151&amp;" · "&amp;D151&amp;" · "&amp;F151)</x:f>
      </x:c>
      <x:c r="H151" s="28"/>
      <x:c r="I151" s="58"/>
      <x:c r="J151" s="28"/>
      <x:c r="K151" s="28"/>
      <x:c r="L151" s="28"/>
      <x:c r="M151" s="28"/>
      <x:c r="N151" s="28"/>
      <x:c r="O151" s="28"/>
      <x:c r="P151" s="58"/>
      <x:c r="Q151" s="28"/>
      <x:c r="R151" s="33" t="str">
        <x:f>IF(OR(B151="",C151="",E151=""),"",B151*294+CHOOSE(MATCH(C151,{"海洋季","火焰季","大地季","黑暗季","風暴季","聖季期"},0),0,56,112,168,224,280)+E151)</x:f>
      </x:c>
    </x:row>
    <x:row r="152" ht="38" customHeight="1">
      <x:c r="A152" s="33"/>
      <x:c r="B152" s="57"/>
      <x:c r="C152" s="58"/>
      <x:c r="D152" s="26" t="str">
        <x:f>IF(C152="","",IF(C152="聖季期",CHOOSE(ROUNDUP(E152/7,0),"幸運週","命運週"),CHOOSE(ROUNDUP(E152/7,0),"混亂週","和諧週","死亡週","豐饒週","停滯週","運動週","幻象週","真理週")))</x:f>
      </x:c>
      <x:c r="E152" s="57"/>
      <x:c r="F152" s="26" t="str">
        <x:f>IF(E152="","",CHOOSE(MOD(E152-1,7)+1,"寒霜日","流水日","泥土日","風暴日","火焰日","狂野日","眾神日"))</x:f>
      </x:c>
      <x:c r="G152" s="26" t="str">
        <x:f>IF(OR(B152="",C152="",E152=""),"",B152&amp;" S.T. · "&amp;C152&amp;" · "&amp;D152&amp;" · "&amp;F152)</x:f>
      </x:c>
      <x:c r="H152" s="28"/>
      <x:c r="I152" s="58"/>
      <x:c r="J152" s="28"/>
      <x:c r="K152" s="28"/>
      <x:c r="L152" s="28"/>
      <x:c r="M152" s="28"/>
      <x:c r="N152" s="28"/>
      <x:c r="O152" s="28"/>
      <x:c r="P152" s="58"/>
      <x:c r="Q152" s="28"/>
      <x:c r="R152" s="33" t="str">
        <x:f>IF(OR(B152="",C152="",E152=""),"",B152*294+CHOOSE(MATCH(C152,{"海洋季","火焰季","大地季","黑暗季","風暴季","聖季期"},0),0,56,112,168,224,280)+E152)</x:f>
      </x:c>
    </x:row>
    <x:row r="153" ht="38" customHeight="1">
      <x:c r="A153" s="33"/>
      <x:c r="B153" s="57"/>
      <x:c r="C153" s="58"/>
      <x:c r="D153" s="26" t="str">
        <x:f>IF(C153="","",IF(C153="聖季期",CHOOSE(ROUNDUP(E153/7,0),"幸運週","命運週"),CHOOSE(ROUNDUP(E153/7,0),"混亂週","和諧週","死亡週","豐饒週","停滯週","運動週","幻象週","真理週")))</x:f>
      </x:c>
      <x:c r="E153" s="57"/>
      <x:c r="F153" s="26" t="str">
        <x:f>IF(E153="","",CHOOSE(MOD(E153-1,7)+1,"寒霜日","流水日","泥土日","風暴日","火焰日","狂野日","眾神日"))</x:f>
      </x:c>
      <x:c r="G153" s="26" t="str">
        <x:f>IF(OR(B153="",C153="",E153=""),"",B153&amp;" S.T. · "&amp;C153&amp;" · "&amp;D153&amp;" · "&amp;F153)</x:f>
      </x:c>
      <x:c r="H153" s="28"/>
      <x:c r="I153" s="58"/>
      <x:c r="J153" s="28"/>
      <x:c r="K153" s="28"/>
      <x:c r="L153" s="28"/>
      <x:c r="M153" s="28"/>
      <x:c r="N153" s="28"/>
      <x:c r="O153" s="28"/>
      <x:c r="P153" s="58"/>
      <x:c r="Q153" s="28"/>
      <x:c r="R153" s="33" t="str">
        <x:f>IF(OR(B153="",C153="",E153=""),"",B153*294+CHOOSE(MATCH(C153,{"海洋季","火焰季","大地季","黑暗季","風暴季","聖季期"},0),0,56,112,168,224,280)+E153)</x:f>
      </x:c>
    </x:row>
    <x:row r="154" ht="38" customHeight="1">
      <x:c r="A154" s="33"/>
      <x:c r="B154" s="57"/>
      <x:c r="C154" s="58"/>
      <x:c r="D154" s="26" t="str">
        <x:f>IF(C154="","",IF(C154="聖季期",CHOOSE(ROUNDUP(E154/7,0),"幸運週","命運週"),CHOOSE(ROUNDUP(E154/7,0),"混亂週","和諧週","死亡週","豐饒週","停滯週","運動週","幻象週","真理週")))</x:f>
      </x:c>
      <x:c r="E154" s="57"/>
      <x:c r="F154" s="26" t="str">
        <x:f>IF(E154="","",CHOOSE(MOD(E154-1,7)+1,"寒霜日","流水日","泥土日","風暴日","火焰日","狂野日","眾神日"))</x:f>
      </x:c>
      <x:c r="G154" s="26" t="str">
        <x:f>IF(OR(B154="",C154="",E154=""),"",B154&amp;" S.T. · "&amp;C154&amp;" · "&amp;D154&amp;" · "&amp;F154)</x:f>
      </x:c>
      <x:c r="H154" s="28"/>
      <x:c r="I154" s="58"/>
      <x:c r="J154" s="28"/>
      <x:c r="K154" s="28"/>
      <x:c r="L154" s="28"/>
      <x:c r="M154" s="28"/>
      <x:c r="N154" s="28"/>
      <x:c r="O154" s="28"/>
      <x:c r="P154" s="58"/>
      <x:c r="Q154" s="28"/>
      <x:c r="R154" s="33" t="str">
        <x:f>IF(OR(B154="",C154="",E154=""),"",B154*294+CHOOSE(MATCH(C154,{"海洋季","火焰季","大地季","黑暗季","風暴季","聖季期"},0),0,56,112,168,224,280)+E154)</x:f>
      </x:c>
    </x:row>
    <x:row r="155" ht="38" customHeight="1">
      <x:c r="A155" s="33"/>
      <x:c r="B155" s="57"/>
      <x:c r="C155" s="58"/>
      <x:c r="D155" s="26" t="str">
        <x:f>IF(C155="","",IF(C155="聖季期",CHOOSE(ROUNDUP(E155/7,0),"幸運週","命運週"),CHOOSE(ROUNDUP(E155/7,0),"混亂週","和諧週","死亡週","豐饒週","停滯週","運動週","幻象週","真理週")))</x:f>
      </x:c>
      <x:c r="E155" s="57"/>
      <x:c r="F155" s="26" t="str">
        <x:f>IF(E155="","",CHOOSE(MOD(E155-1,7)+1,"寒霜日","流水日","泥土日","風暴日","火焰日","狂野日","眾神日"))</x:f>
      </x:c>
      <x:c r="G155" s="26" t="str">
        <x:f>IF(OR(B155="",C155="",E155=""),"",B155&amp;" S.T. · "&amp;C155&amp;" · "&amp;D155&amp;" · "&amp;F155)</x:f>
      </x:c>
      <x:c r="H155" s="28"/>
      <x:c r="I155" s="58"/>
      <x:c r="J155" s="28"/>
      <x:c r="K155" s="28"/>
      <x:c r="L155" s="28"/>
      <x:c r="M155" s="28"/>
      <x:c r="N155" s="28"/>
      <x:c r="O155" s="28"/>
      <x:c r="P155" s="58"/>
      <x:c r="Q155" s="28"/>
      <x:c r="R155" s="33" t="str">
        <x:f>IF(OR(B155="",C155="",E155=""),"",B155*294+CHOOSE(MATCH(C155,{"海洋季","火焰季","大地季","黑暗季","風暴季","聖季期"},0),0,56,112,168,224,280)+E155)</x:f>
      </x:c>
    </x:row>
    <x:row r="156" ht="38" customHeight="1">
      <x:c r="A156" s="33"/>
      <x:c r="B156" s="57"/>
      <x:c r="C156" s="58"/>
      <x:c r="D156" s="26" t="str">
        <x:f>IF(C156="","",IF(C156="聖季期",CHOOSE(ROUNDUP(E156/7,0),"幸運週","命運週"),CHOOSE(ROUNDUP(E156/7,0),"混亂週","和諧週","死亡週","豐饒週","停滯週","運動週","幻象週","真理週")))</x:f>
      </x:c>
      <x:c r="E156" s="57"/>
      <x:c r="F156" s="26" t="str">
        <x:f>IF(E156="","",CHOOSE(MOD(E156-1,7)+1,"寒霜日","流水日","泥土日","風暴日","火焰日","狂野日","眾神日"))</x:f>
      </x:c>
      <x:c r="G156" s="26" t="str">
        <x:f>IF(OR(B156="",C156="",E156=""),"",B156&amp;" S.T. · "&amp;C156&amp;" · "&amp;D156&amp;" · "&amp;F156)</x:f>
      </x:c>
      <x:c r="H156" s="28"/>
      <x:c r="I156" s="58"/>
      <x:c r="J156" s="28"/>
      <x:c r="K156" s="28"/>
      <x:c r="L156" s="28"/>
      <x:c r="M156" s="28"/>
      <x:c r="N156" s="28"/>
      <x:c r="O156" s="28"/>
      <x:c r="P156" s="58"/>
      <x:c r="Q156" s="28"/>
      <x:c r="R156" s="33" t="str">
        <x:f>IF(OR(B156="",C156="",E156=""),"",B156*294+CHOOSE(MATCH(C156,{"海洋季","火焰季","大地季","黑暗季","風暴季","聖季期"},0),0,56,112,168,224,280)+E156)</x:f>
      </x:c>
    </x:row>
    <x:row r="157" ht="38" customHeight="1">
      <x:c r="A157" s="33"/>
      <x:c r="B157" s="57"/>
      <x:c r="C157" s="58"/>
      <x:c r="D157" s="26" t="str">
        <x:f>IF(C157="","",IF(C157="聖季期",CHOOSE(ROUNDUP(E157/7,0),"幸運週","命運週"),CHOOSE(ROUNDUP(E157/7,0),"混亂週","和諧週","死亡週","豐饒週","停滯週","運動週","幻象週","真理週")))</x:f>
      </x:c>
      <x:c r="E157" s="57"/>
      <x:c r="F157" s="26" t="str">
        <x:f>IF(E157="","",CHOOSE(MOD(E157-1,7)+1,"寒霜日","流水日","泥土日","風暴日","火焰日","狂野日","眾神日"))</x:f>
      </x:c>
      <x:c r="G157" s="26" t="str">
        <x:f>IF(OR(B157="",C157="",E157=""),"",B157&amp;" S.T. · "&amp;C157&amp;" · "&amp;D157&amp;" · "&amp;F157)</x:f>
      </x:c>
      <x:c r="H157" s="28"/>
      <x:c r="I157" s="58"/>
      <x:c r="J157" s="28"/>
      <x:c r="K157" s="28"/>
      <x:c r="L157" s="28"/>
      <x:c r="M157" s="28"/>
      <x:c r="N157" s="28"/>
      <x:c r="O157" s="28"/>
      <x:c r="P157" s="58"/>
      <x:c r="Q157" s="28"/>
      <x:c r="R157" s="33" t="str">
        <x:f>IF(OR(B157="",C157="",E157=""),"",B157*294+CHOOSE(MATCH(C157,{"海洋季","火焰季","大地季","黑暗季","風暴季","聖季期"},0),0,56,112,168,224,280)+E157)</x:f>
      </x:c>
    </x:row>
    <x:row r="158" ht="38" customHeight="1">
      <x:c r="A158" s="33"/>
      <x:c r="B158" s="57"/>
      <x:c r="C158" s="58"/>
      <x:c r="D158" s="26" t="str">
        <x:f>IF(C158="","",IF(C158="聖季期",CHOOSE(ROUNDUP(E158/7,0),"幸運週","命運週"),CHOOSE(ROUNDUP(E158/7,0),"混亂週","和諧週","死亡週","豐饒週","停滯週","運動週","幻象週","真理週")))</x:f>
      </x:c>
      <x:c r="E158" s="57"/>
      <x:c r="F158" s="26" t="str">
        <x:f>IF(E158="","",CHOOSE(MOD(E158-1,7)+1,"寒霜日","流水日","泥土日","風暴日","火焰日","狂野日","眾神日"))</x:f>
      </x:c>
      <x:c r="G158" s="26" t="str">
        <x:f>IF(OR(B158="",C158="",E158=""),"",B158&amp;" S.T. · "&amp;C158&amp;" · "&amp;D158&amp;" · "&amp;F158)</x:f>
      </x:c>
      <x:c r="H158" s="28"/>
      <x:c r="I158" s="58"/>
      <x:c r="J158" s="28"/>
      <x:c r="K158" s="28"/>
      <x:c r="L158" s="28"/>
      <x:c r="M158" s="28"/>
      <x:c r="N158" s="28"/>
      <x:c r="O158" s="28"/>
      <x:c r="P158" s="58"/>
      <x:c r="Q158" s="28"/>
      <x:c r="R158" s="33" t="str">
        <x:f>IF(OR(B158="",C158="",E158=""),"",B158*294+CHOOSE(MATCH(C158,{"海洋季","火焰季","大地季","黑暗季","風暴季","聖季期"},0),0,56,112,168,224,280)+E158)</x:f>
      </x:c>
    </x:row>
    <x:row r="159" ht="38" customHeight="1">
      <x:c r="A159" s="33"/>
      <x:c r="B159" s="57"/>
      <x:c r="C159" s="58"/>
      <x:c r="D159" s="26" t="str">
        <x:f>IF(C159="","",IF(C159="聖季期",CHOOSE(ROUNDUP(E159/7,0),"幸運週","命運週"),CHOOSE(ROUNDUP(E159/7,0),"混亂週","和諧週","死亡週","豐饒週","停滯週","運動週","幻象週","真理週")))</x:f>
      </x:c>
      <x:c r="E159" s="57"/>
      <x:c r="F159" s="26" t="str">
        <x:f>IF(E159="","",CHOOSE(MOD(E159-1,7)+1,"寒霜日","流水日","泥土日","風暴日","火焰日","狂野日","眾神日"))</x:f>
      </x:c>
      <x:c r="G159" s="26" t="str">
        <x:f>IF(OR(B159="",C159="",E159=""),"",B159&amp;" S.T. · "&amp;C159&amp;" · "&amp;D159&amp;" · "&amp;F159)</x:f>
      </x:c>
      <x:c r="H159" s="28"/>
      <x:c r="I159" s="58"/>
      <x:c r="J159" s="28"/>
      <x:c r="K159" s="28"/>
      <x:c r="L159" s="28"/>
      <x:c r="M159" s="28"/>
      <x:c r="N159" s="28"/>
      <x:c r="O159" s="28"/>
      <x:c r="P159" s="58"/>
      <x:c r="Q159" s="28"/>
      <x:c r="R159" s="33" t="str">
        <x:f>IF(OR(B159="",C159="",E159=""),"",B159*294+CHOOSE(MATCH(C159,{"海洋季","火焰季","大地季","黑暗季","風暴季","聖季期"},0),0,56,112,168,224,280)+E159)</x:f>
      </x:c>
    </x:row>
    <x:row r="160" ht="38" customHeight="1">
      <x:c r="A160" s="33"/>
      <x:c r="B160" s="57"/>
      <x:c r="C160" s="58"/>
      <x:c r="D160" s="26" t="str">
        <x:f>IF(C160="","",IF(C160="聖季期",CHOOSE(ROUNDUP(E160/7,0),"幸運週","命運週"),CHOOSE(ROUNDUP(E160/7,0),"混亂週","和諧週","死亡週","豐饒週","停滯週","運動週","幻象週","真理週")))</x:f>
      </x:c>
      <x:c r="E160" s="57"/>
      <x:c r="F160" s="26" t="str">
        <x:f>IF(E160="","",CHOOSE(MOD(E160-1,7)+1,"寒霜日","流水日","泥土日","風暴日","火焰日","狂野日","眾神日"))</x:f>
      </x:c>
      <x:c r="G160" s="26" t="str">
        <x:f>IF(OR(B160="",C160="",E160=""),"",B160&amp;" S.T. · "&amp;C160&amp;" · "&amp;D160&amp;" · "&amp;F160)</x:f>
      </x:c>
      <x:c r="H160" s="28"/>
      <x:c r="I160" s="58"/>
      <x:c r="J160" s="28"/>
      <x:c r="K160" s="28"/>
      <x:c r="L160" s="28"/>
      <x:c r="M160" s="28"/>
      <x:c r="N160" s="28"/>
      <x:c r="O160" s="28"/>
      <x:c r="P160" s="58"/>
      <x:c r="Q160" s="28"/>
      <x:c r="R160" s="33" t="str">
        <x:f>IF(OR(B160="",C160="",E160=""),"",B160*294+CHOOSE(MATCH(C160,{"海洋季","火焰季","大地季","黑暗季","風暴季","聖季期"},0),0,56,112,168,224,280)+E160)</x:f>
      </x:c>
    </x:row>
    <x:row r="161" ht="38" customHeight="1">
      <x:c r="A161" s="33"/>
      <x:c r="B161" s="57"/>
      <x:c r="C161" s="58"/>
      <x:c r="D161" s="26" t="str">
        <x:f>IF(C161="","",IF(C161="聖季期",CHOOSE(ROUNDUP(E161/7,0),"幸運週","命運週"),CHOOSE(ROUNDUP(E161/7,0),"混亂週","和諧週","死亡週","豐饒週","停滯週","運動週","幻象週","真理週")))</x:f>
      </x:c>
      <x:c r="E161" s="57"/>
      <x:c r="F161" s="26" t="str">
        <x:f>IF(E161="","",CHOOSE(MOD(E161-1,7)+1,"寒霜日","流水日","泥土日","風暴日","火焰日","狂野日","眾神日"))</x:f>
      </x:c>
      <x:c r="G161" s="26" t="str">
        <x:f>IF(OR(B161="",C161="",E161=""),"",B161&amp;" S.T. · "&amp;C161&amp;" · "&amp;D161&amp;" · "&amp;F161)</x:f>
      </x:c>
      <x:c r="H161" s="28"/>
      <x:c r="I161" s="58"/>
      <x:c r="J161" s="28"/>
      <x:c r="K161" s="28"/>
      <x:c r="L161" s="28"/>
      <x:c r="M161" s="28"/>
      <x:c r="N161" s="28"/>
      <x:c r="O161" s="28"/>
      <x:c r="P161" s="58"/>
      <x:c r="Q161" s="28"/>
      <x:c r="R161" s="33" t="str">
        <x:f>IF(OR(B161="",C161="",E161=""),"",B161*294+CHOOSE(MATCH(C161,{"海洋季","火焰季","大地季","黑暗季","風暴季","聖季期"},0),0,56,112,168,224,280)+E161)</x:f>
      </x:c>
    </x:row>
    <x:row r="162" ht="38" customHeight="1">
      <x:c r="A162" s="33"/>
      <x:c r="B162" s="57"/>
      <x:c r="C162" s="58"/>
      <x:c r="D162" s="26" t="str">
        <x:f>IF(C162="","",IF(C162="聖季期",CHOOSE(ROUNDUP(E162/7,0),"幸運週","命運週"),CHOOSE(ROUNDUP(E162/7,0),"混亂週","和諧週","死亡週","豐饒週","停滯週","運動週","幻象週","真理週")))</x:f>
      </x:c>
      <x:c r="E162" s="57"/>
      <x:c r="F162" s="26" t="str">
        <x:f>IF(E162="","",CHOOSE(MOD(E162-1,7)+1,"寒霜日","流水日","泥土日","風暴日","火焰日","狂野日","眾神日"))</x:f>
      </x:c>
      <x:c r="G162" s="26" t="str">
        <x:f>IF(OR(B162="",C162="",E162=""),"",B162&amp;" S.T. · "&amp;C162&amp;" · "&amp;D162&amp;" · "&amp;F162)</x:f>
      </x:c>
      <x:c r="H162" s="28"/>
      <x:c r="I162" s="58"/>
      <x:c r="J162" s="28"/>
      <x:c r="K162" s="28"/>
      <x:c r="L162" s="28"/>
      <x:c r="M162" s="28"/>
      <x:c r="N162" s="28"/>
      <x:c r="O162" s="28"/>
      <x:c r="P162" s="58"/>
      <x:c r="Q162" s="28"/>
      <x:c r="R162" s="33" t="str">
        <x:f>IF(OR(B162="",C162="",E162=""),"",B162*294+CHOOSE(MATCH(C162,{"海洋季","火焰季","大地季","黑暗季","風暴季","聖季期"},0),0,56,112,168,224,280)+E162)</x:f>
      </x:c>
    </x:row>
    <x:row r="163" ht="38" customHeight="1">
      <x:c r="A163" s="33"/>
      <x:c r="B163" s="57"/>
      <x:c r="C163" s="58"/>
      <x:c r="D163" s="26" t="str">
        <x:f>IF(C163="","",IF(C163="聖季期",CHOOSE(ROUNDUP(E163/7,0),"幸運週","命運週"),CHOOSE(ROUNDUP(E163/7,0),"混亂週","和諧週","死亡週","豐饒週","停滯週","運動週","幻象週","真理週")))</x:f>
      </x:c>
      <x:c r="E163" s="57"/>
      <x:c r="F163" s="26" t="str">
        <x:f>IF(E163="","",CHOOSE(MOD(E163-1,7)+1,"寒霜日","流水日","泥土日","風暴日","火焰日","狂野日","眾神日"))</x:f>
      </x:c>
      <x:c r="G163" s="26" t="str">
        <x:f>IF(OR(B163="",C163="",E163=""),"",B163&amp;" S.T. · "&amp;C163&amp;" · "&amp;D163&amp;" · "&amp;F163)</x:f>
      </x:c>
      <x:c r="H163" s="28"/>
      <x:c r="I163" s="58"/>
      <x:c r="J163" s="28"/>
      <x:c r="K163" s="28"/>
      <x:c r="L163" s="28"/>
      <x:c r="M163" s="28"/>
      <x:c r="N163" s="28"/>
      <x:c r="O163" s="28"/>
      <x:c r="P163" s="58"/>
      <x:c r="Q163" s="28"/>
      <x:c r="R163" s="33" t="str">
        <x:f>IF(OR(B163="",C163="",E163=""),"",B163*294+CHOOSE(MATCH(C163,{"海洋季","火焰季","大地季","黑暗季","風暴季","聖季期"},0),0,56,112,168,224,280)+E163)</x:f>
      </x:c>
    </x:row>
    <x:row r="164" ht="38" customHeight="1">
      <x:c r="A164" s="33"/>
      <x:c r="B164" s="57"/>
      <x:c r="C164" s="58"/>
      <x:c r="D164" s="26" t="str">
        <x:f>IF(C164="","",IF(C164="聖季期",CHOOSE(ROUNDUP(E164/7,0),"幸運週","命運週"),CHOOSE(ROUNDUP(E164/7,0),"混亂週","和諧週","死亡週","豐饒週","停滯週","運動週","幻象週","真理週")))</x:f>
      </x:c>
      <x:c r="E164" s="57"/>
      <x:c r="F164" s="26" t="str">
        <x:f>IF(E164="","",CHOOSE(MOD(E164-1,7)+1,"寒霜日","流水日","泥土日","風暴日","火焰日","狂野日","眾神日"))</x:f>
      </x:c>
      <x:c r="G164" s="26" t="str">
        <x:f>IF(OR(B164="",C164="",E164=""),"",B164&amp;" S.T. · "&amp;C164&amp;" · "&amp;D164&amp;" · "&amp;F164)</x:f>
      </x:c>
      <x:c r="H164" s="28"/>
      <x:c r="I164" s="58"/>
      <x:c r="J164" s="28"/>
      <x:c r="K164" s="28"/>
      <x:c r="L164" s="28"/>
      <x:c r="M164" s="28"/>
      <x:c r="N164" s="28"/>
      <x:c r="O164" s="28"/>
      <x:c r="P164" s="58"/>
      <x:c r="Q164" s="28"/>
      <x:c r="R164" s="33" t="str">
        <x:f>IF(OR(B164="",C164="",E164=""),"",B164*294+CHOOSE(MATCH(C164,{"海洋季","火焰季","大地季","黑暗季","風暴季","聖季期"},0),0,56,112,168,224,280)+E164)</x:f>
      </x:c>
    </x:row>
    <x:row r="165" ht="38" customHeight="1">
      <x:c r="A165" s="33"/>
      <x:c r="B165" s="57"/>
      <x:c r="C165" s="58"/>
      <x:c r="D165" s="26" t="str">
        <x:f>IF(C165="","",IF(C165="聖季期",CHOOSE(ROUNDUP(E165/7,0),"幸運週","命運週"),CHOOSE(ROUNDUP(E165/7,0),"混亂週","和諧週","死亡週","豐饒週","停滯週","運動週","幻象週","真理週")))</x:f>
      </x:c>
      <x:c r="E165" s="57"/>
      <x:c r="F165" s="26" t="str">
        <x:f>IF(E165="","",CHOOSE(MOD(E165-1,7)+1,"寒霜日","流水日","泥土日","風暴日","火焰日","狂野日","眾神日"))</x:f>
      </x:c>
      <x:c r="G165" s="26" t="str">
        <x:f>IF(OR(B165="",C165="",E165=""),"",B165&amp;" S.T. · "&amp;C165&amp;" · "&amp;D165&amp;" · "&amp;F165)</x:f>
      </x:c>
      <x:c r="H165" s="28"/>
      <x:c r="I165" s="58"/>
      <x:c r="J165" s="28"/>
      <x:c r="K165" s="28"/>
      <x:c r="L165" s="28"/>
      <x:c r="M165" s="28"/>
      <x:c r="N165" s="28"/>
      <x:c r="O165" s="28"/>
      <x:c r="P165" s="58"/>
      <x:c r="Q165" s="28"/>
      <x:c r="R165" s="33" t="str">
        <x:f>IF(OR(B165="",C165="",E165=""),"",B165*294+CHOOSE(MATCH(C165,{"海洋季","火焰季","大地季","黑暗季","風暴季","聖季期"},0),0,56,112,168,224,280)+E165)</x:f>
      </x:c>
    </x:row>
    <x:row r="166" ht="38" customHeight="1">
      <x:c r="A166" s="33"/>
      <x:c r="B166" s="57"/>
      <x:c r="C166" s="58"/>
      <x:c r="D166" s="26" t="str">
        <x:f>IF(C166="","",IF(C166="聖季期",CHOOSE(ROUNDUP(E166/7,0),"幸運週","命運週"),CHOOSE(ROUNDUP(E166/7,0),"混亂週","和諧週","死亡週","豐饒週","停滯週","運動週","幻象週","真理週")))</x:f>
      </x:c>
      <x:c r="E166" s="57"/>
      <x:c r="F166" s="26" t="str">
        <x:f>IF(E166="","",CHOOSE(MOD(E166-1,7)+1,"寒霜日","流水日","泥土日","風暴日","火焰日","狂野日","眾神日"))</x:f>
      </x:c>
      <x:c r="G166" s="26" t="str">
        <x:f>IF(OR(B166="",C166="",E166=""),"",B166&amp;" S.T. · "&amp;C166&amp;" · "&amp;D166&amp;" · "&amp;F166)</x:f>
      </x:c>
      <x:c r="H166" s="28"/>
      <x:c r="I166" s="58"/>
      <x:c r="J166" s="28"/>
      <x:c r="K166" s="28"/>
      <x:c r="L166" s="28"/>
      <x:c r="M166" s="28"/>
      <x:c r="N166" s="28"/>
      <x:c r="O166" s="28"/>
      <x:c r="P166" s="58"/>
      <x:c r="Q166" s="28"/>
      <x:c r="R166" s="33" t="str">
        <x:f>IF(OR(B166="",C166="",E166=""),"",B166*294+CHOOSE(MATCH(C166,{"海洋季","火焰季","大地季","黑暗季","風暴季","聖季期"},0),0,56,112,168,224,280)+E166)</x:f>
      </x:c>
    </x:row>
    <x:row r="167" ht="38" customHeight="1">
      <x:c r="A167" s="33"/>
      <x:c r="B167" s="57"/>
      <x:c r="C167" s="58"/>
      <x:c r="D167" s="26" t="str">
        <x:f>IF(C167="","",IF(C167="聖季期",CHOOSE(ROUNDUP(E167/7,0),"幸運週","命運週"),CHOOSE(ROUNDUP(E167/7,0),"混亂週","和諧週","死亡週","豐饒週","停滯週","運動週","幻象週","真理週")))</x:f>
      </x:c>
      <x:c r="E167" s="57"/>
      <x:c r="F167" s="26" t="str">
        <x:f>IF(E167="","",CHOOSE(MOD(E167-1,7)+1,"寒霜日","流水日","泥土日","風暴日","火焰日","狂野日","眾神日"))</x:f>
      </x:c>
      <x:c r="G167" s="26" t="str">
        <x:f>IF(OR(B167="",C167="",E167=""),"",B167&amp;" S.T. · "&amp;C167&amp;" · "&amp;D167&amp;" · "&amp;F167)</x:f>
      </x:c>
      <x:c r="H167" s="28"/>
      <x:c r="I167" s="58"/>
      <x:c r="J167" s="28"/>
      <x:c r="K167" s="28"/>
      <x:c r="L167" s="28"/>
      <x:c r="M167" s="28"/>
      <x:c r="N167" s="28"/>
      <x:c r="O167" s="28"/>
      <x:c r="P167" s="58"/>
      <x:c r="Q167" s="28"/>
      <x:c r="R167" s="33" t="str">
        <x:f>IF(OR(B167="",C167="",E167=""),"",B167*294+CHOOSE(MATCH(C167,{"海洋季","火焰季","大地季","黑暗季","風暴季","聖季期"},0),0,56,112,168,224,280)+E167)</x:f>
      </x:c>
    </x:row>
    <x:row r="168" ht="38" customHeight="1">
      <x:c r="A168" s="33"/>
      <x:c r="B168" s="57"/>
      <x:c r="C168" s="58"/>
      <x:c r="D168" s="26" t="str">
        <x:f>IF(C168="","",IF(C168="聖季期",CHOOSE(ROUNDUP(E168/7,0),"幸運週","命運週"),CHOOSE(ROUNDUP(E168/7,0),"混亂週","和諧週","死亡週","豐饒週","停滯週","運動週","幻象週","真理週")))</x:f>
      </x:c>
      <x:c r="E168" s="57"/>
      <x:c r="F168" s="26" t="str">
        <x:f>IF(E168="","",CHOOSE(MOD(E168-1,7)+1,"寒霜日","流水日","泥土日","風暴日","火焰日","狂野日","眾神日"))</x:f>
      </x:c>
      <x:c r="G168" s="26" t="str">
        <x:f>IF(OR(B168="",C168="",E168=""),"",B168&amp;" S.T. · "&amp;C168&amp;" · "&amp;D168&amp;" · "&amp;F168)</x:f>
      </x:c>
      <x:c r="H168" s="28"/>
      <x:c r="I168" s="58"/>
      <x:c r="J168" s="28"/>
      <x:c r="K168" s="28"/>
      <x:c r="L168" s="28"/>
      <x:c r="M168" s="28"/>
      <x:c r="N168" s="28"/>
      <x:c r="O168" s="28"/>
      <x:c r="P168" s="58"/>
      <x:c r="Q168" s="28"/>
      <x:c r="R168" s="33" t="str">
        <x:f>IF(OR(B168="",C168="",E168=""),"",B168*294+CHOOSE(MATCH(C168,{"海洋季","火焰季","大地季","黑暗季","風暴季","聖季期"},0),0,56,112,168,224,280)+E168)</x:f>
      </x:c>
    </x:row>
    <x:row r="169" ht="38" customHeight="1">
      <x:c r="A169" s="33"/>
      <x:c r="B169" s="57"/>
      <x:c r="C169" s="58"/>
      <x:c r="D169" s="26" t="str">
        <x:f>IF(C169="","",IF(C169="聖季期",CHOOSE(ROUNDUP(E169/7,0),"幸運週","命運週"),CHOOSE(ROUNDUP(E169/7,0),"混亂週","和諧週","死亡週","豐饒週","停滯週","運動週","幻象週","真理週")))</x:f>
      </x:c>
      <x:c r="E169" s="57"/>
      <x:c r="F169" s="26" t="str">
        <x:f>IF(E169="","",CHOOSE(MOD(E169-1,7)+1,"寒霜日","流水日","泥土日","風暴日","火焰日","狂野日","眾神日"))</x:f>
      </x:c>
      <x:c r="G169" s="26" t="str">
        <x:f>IF(OR(B169="",C169="",E169=""),"",B169&amp;" S.T. · "&amp;C169&amp;" · "&amp;D169&amp;" · "&amp;F169)</x:f>
      </x:c>
      <x:c r="H169" s="28"/>
      <x:c r="I169" s="58"/>
      <x:c r="J169" s="28"/>
      <x:c r="K169" s="28"/>
      <x:c r="L169" s="28"/>
      <x:c r="M169" s="28"/>
      <x:c r="N169" s="28"/>
      <x:c r="O169" s="28"/>
      <x:c r="P169" s="58"/>
      <x:c r="Q169" s="28"/>
      <x:c r="R169" s="33" t="str">
        <x:f>IF(OR(B169="",C169="",E169=""),"",B169*294+CHOOSE(MATCH(C169,{"海洋季","火焰季","大地季","黑暗季","風暴季","聖季期"},0),0,56,112,168,224,280)+E169)</x:f>
      </x:c>
    </x:row>
    <x:row r="170" ht="38" customHeight="1">
      <x:c r="A170" s="33"/>
      <x:c r="B170" s="57"/>
      <x:c r="C170" s="58"/>
      <x:c r="D170" s="26" t="str">
        <x:f>IF(C170="","",IF(C170="聖季期",CHOOSE(ROUNDUP(E170/7,0),"幸運週","命運週"),CHOOSE(ROUNDUP(E170/7,0),"混亂週","和諧週","死亡週","豐饒週","停滯週","運動週","幻象週","真理週")))</x:f>
      </x:c>
      <x:c r="E170" s="57"/>
      <x:c r="F170" s="26" t="str">
        <x:f>IF(E170="","",CHOOSE(MOD(E170-1,7)+1,"寒霜日","流水日","泥土日","風暴日","火焰日","狂野日","眾神日"))</x:f>
      </x:c>
      <x:c r="G170" s="26" t="str">
        <x:f>IF(OR(B170="",C170="",E170=""),"",B170&amp;" S.T. · "&amp;C170&amp;" · "&amp;D170&amp;" · "&amp;F170)</x:f>
      </x:c>
      <x:c r="H170" s="28"/>
      <x:c r="I170" s="58"/>
      <x:c r="J170" s="28"/>
      <x:c r="K170" s="28"/>
      <x:c r="L170" s="28"/>
      <x:c r="M170" s="28"/>
      <x:c r="N170" s="28"/>
      <x:c r="O170" s="28"/>
      <x:c r="P170" s="58"/>
      <x:c r="Q170" s="28"/>
      <x:c r="R170" s="33" t="str">
        <x:f>IF(OR(B170="",C170="",E170=""),"",B170*294+CHOOSE(MATCH(C170,{"海洋季","火焰季","大地季","黑暗季","風暴季","聖季期"},0),0,56,112,168,224,280)+E170)</x:f>
      </x:c>
    </x:row>
    <x:row r="171" ht="38" customHeight="1">
      <x:c r="A171" s="33"/>
      <x:c r="B171" s="57"/>
      <x:c r="C171" s="58"/>
      <x:c r="D171" s="26" t="str">
        <x:f>IF(C171="","",IF(C171="聖季期",CHOOSE(ROUNDUP(E171/7,0),"幸運週","命運週"),CHOOSE(ROUNDUP(E171/7,0),"混亂週","和諧週","死亡週","豐饒週","停滯週","運動週","幻象週","真理週")))</x:f>
      </x:c>
      <x:c r="E171" s="57"/>
      <x:c r="F171" s="26" t="str">
        <x:f>IF(E171="","",CHOOSE(MOD(E171-1,7)+1,"寒霜日","流水日","泥土日","風暴日","火焰日","狂野日","眾神日"))</x:f>
      </x:c>
      <x:c r="G171" s="26" t="str">
        <x:f>IF(OR(B171="",C171="",E171=""),"",B171&amp;" S.T. · "&amp;C171&amp;" · "&amp;D171&amp;" · "&amp;F171)</x:f>
      </x:c>
      <x:c r="H171" s="28"/>
      <x:c r="I171" s="58"/>
      <x:c r="J171" s="28"/>
      <x:c r="K171" s="28"/>
      <x:c r="L171" s="28"/>
      <x:c r="M171" s="28"/>
      <x:c r="N171" s="28"/>
      <x:c r="O171" s="28"/>
      <x:c r="P171" s="58"/>
      <x:c r="Q171" s="28"/>
      <x:c r="R171" s="33" t="str">
        <x:f>IF(OR(B171="",C171="",E171=""),"",B171*294+CHOOSE(MATCH(C171,{"海洋季","火焰季","大地季","黑暗季","風暴季","聖季期"},0),0,56,112,168,224,280)+E171)</x:f>
      </x:c>
    </x:row>
    <x:row r="172" ht="38" customHeight="1">
      <x:c r="A172" s="33"/>
      <x:c r="B172" s="57"/>
      <x:c r="C172" s="58"/>
      <x:c r="D172" s="26" t="str">
        <x:f>IF(C172="","",IF(C172="聖季期",CHOOSE(ROUNDUP(E172/7,0),"幸運週","命運週"),CHOOSE(ROUNDUP(E172/7,0),"混亂週","和諧週","死亡週","豐饒週","停滯週","運動週","幻象週","真理週")))</x:f>
      </x:c>
      <x:c r="E172" s="57"/>
      <x:c r="F172" s="26" t="str">
        <x:f>IF(E172="","",CHOOSE(MOD(E172-1,7)+1,"寒霜日","流水日","泥土日","風暴日","火焰日","狂野日","眾神日"))</x:f>
      </x:c>
      <x:c r="G172" s="26" t="str">
        <x:f>IF(OR(B172="",C172="",E172=""),"",B172&amp;" S.T. · "&amp;C172&amp;" · "&amp;D172&amp;" · "&amp;F172)</x:f>
      </x:c>
      <x:c r="H172" s="28"/>
      <x:c r="I172" s="58"/>
      <x:c r="J172" s="28"/>
      <x:c r="K172" s="28"/>
      <x:c r="L172" s="28"/>
      <x:c r="M172" s="28"/>
      <x:c r="N172" s="28"/>
      <x:c r="O172" s="28"/>
      <x:c r="P172" s="58"/>
      <x:c r="Q172" s="28"/>
      <x:c r="R172" s="33" t="str">
        <x:f>IF(OR(B172="",C172="",E172=""),"",B172*294+CHOOSE(MATCH(C172,{"海洋季","火焰季","大地季","黑暗季","風暴季","聖季期"},0),0,56,112,168,224,280)+E172)</x:f>
      </x:c>
    </x:row>
    <x:row r="173" ht="38" customHeight="1">
      <x:c r="A173" s="33"/>
      <x:c r="B173" s="57"/>
      <x:c r="C173" s="58"/>
      <x:c r="D173" s="26" t="str">
        <x:f>IF(C173="","",IF(C173="聖季期",CHOOSE(ROUNDUP(E173/7,0),"幸運週","命運週"),CHOOSE(ROUNDUP(E173/7,0),"混亂週","和諧週","死亡週","豐饒週","停滯週","運動週","幻象週","真理週")))</x:f>
      </x:c>
      <x:c r="E173" s="57"/>
      <x:c r="F173" s="26" t="str">
        <x:f>IF(E173="","",CHOOSE(MOD(E173-1,7)+1,"寒霜日","流水日","泥土日","風暴日","火焰日","狂野日","眾神日"))</x:f>
      </x:c>
      <x:c r="G173" s="26" t="str">
        <x:f>IF(OR(B173="",C173="",E173=""),"",B173&amp;" S.T. · "&amp;C173&amp;" · "&amp;D173&amp;" · "&amp;F173)</x:f>
      </x:c>
      <x:c r="H173" s="28"/>
      <x:c r="I173" s="58"/>
      <x:c r="J173" s="28"/>
      <x:c r="K173" s="28"/>
      <x:c r="L173" s="28"/>
      <x:c r="M173" s="28"/>
      <x:c r="N173" s="28"/>
      <x:c r="O173" s="28"/>
      <x:c r="P173" s="58"/>
      <x:c r="Q173" s="28"/>
      <x:c r="R173" s="33" t="str">
        <x:f>IF(OR(B173="",C173="",E173=""),"",B173*294+CHOOSE(MATCH(C173,{"海洋季","火焰季","大地季","黑暗季","風暴季","聖季期"},0),0,56,112,168,224,280)+E173)</x:f>
      </x:c>
    </x:row>
    <x:row r="174" ht="38" customHeight="1">
      <x:c r="A174" s="33"/>
      <x:c r="B174" s="57"/>
      <x:c r="C174" s="58"/>
      <x:c r="D174" s="26" t="str">
        <x:f>IF(C174="","",IF(C174="聖季期",CHOOSE(ROUNDUP(E174/7,0),"幸運週","命運週"),CHOOSE(ROUNDUP(E174/7,0),"混亂週","和諧週","死亡週","豐饒週","停滯週","運動週","幻象週","真理週")))</x:f>
      </x:c>
      <x:c r="E174" s="57"/>
      <x:c r="F174" s="26" t="str">
        <x:f>IF(E174="","",CHOOSE(MOD(E174-1,7)+1,"寒霜日","流水日","泥土日","風暴日","火焰日","狂野日","眾神日"))</x:f>
      </x:c>
      <x:c r="G174" s="26" t="str">
        <x:f>IF(OR(B174="",C174="",E174=""),"",B174&amp;" S.T. · "&amp;C174&amp;" · "&amp;D174&amp;" · "&amp;F174)</x:f>
      </x:c>
      <x:c r="H174" s="28"/>
      <x:c r="I174" s="58"/>
      <x:c r="J174" s="28"/>
      <x:c r="K174" s="28"/>
      <x:c r="L174" s="28"/>
      <x:c r="M174" s="28"/>
      <x:c r="N174" s="28"/>
      <x:c r="O174" s="28"/>
      <x:c r="P174" s="58"/>
      <x:c r="Q174" s="28"/>
      <x:c r="R174" s="33" t="str">
        <x:f>IF(OR(B174="",C174="",E174=""),"",B174*294+CHOOSE(MATCH(C174,{"海洋季","火焰季","大地季","黑暗季","風暴季","聖季期"},0),0,56,112,168,224,280)+E174)</x:f>
      </x:c>
    </x:row>
    <x:row r="175" ht="38" customHeight="1">
      <x:c r="A175" s="33"/>
      <x:c r="B175" s="57"/>
      <x:c r="C175" s="58"/>
      <x:c r="D175" s="26" t="str">
        <x:f>IF(C175="","",IF(C175="聖季期",CHOOSE(ROUNDUP(E175/7,0),"幸運週","命運週"),CHOOSE(ROUNDUP(E175/7,0),"混亂週","和諧週","死亡週","豐饒週","停滯週","運動週","幻象週","真理週")))</x:f>
      </x:c>
      <x:c r="E175" s="57"/>
      <x:c r="F175" s="26" t="str">
        <x:f>IF(E175="","",CHOOSE(MOD(E175-1,7)+1,"寒霜日","流水日","泥土日","風暴日","火焰日","狂野日","眾神日"))</x:f>
      </x:c>
      <x:c r="G175" s="26" t="str">
        <x:f>IF(OR(B175="",C175="",E175=""),"",B175&amp;" S.T. · "&amp;C175&amp;" · "&amp;D175&amp;" · "&amp;F175)</x:f>
      </x:c>
      <x:c r="H175" s="28"/>
      <x:c r="I175" s="58"/>
      <x:c r="J175" s="28"/>
      <x:c r="K175" s="28"/>
      <x:c r="L175" s="28"/>
      <x:c r="M175" s="28"/>
      <x:c r="N175" s="28"/>
      <x:c r="O175" s="28"/>
      <x:c r="P175" s="58"/>
      <x:c r="Q175" s="28"/>
      <x:c r="R175" s="33" t="str">
        <x:f>IF(OR(B175="",C175="",E175=""),"",B175*294+CHOOSE(MATCH(C175,{"海洋季","火焰季","大地季","黑暗季","風暴季","聖季期"},0),0,56,112,168,224,280)+E175)</x:f>
      </x:c>
    </x:row>
    <x:row r="176" ht="38" customHeight="1">
      <x:c r="A176" s="33"/>
      <x:c r="B176" s="57"/>
      <x:c r="C176" s="58"/>
      <x:c r="D176" s="26" t="str">
        <x:f>IF(C176="","",IF(C176="聖季期",CHOOSE(ROUNDUP(E176/7,0),"幸運週","命運週"),CHOOSE(ROUNDUP(E176/7,0),"混亂週","和諧週","死亡週","豐饒週","停滯週","運動週","幻象週","真理週")))</x:f>
      </x:c>
      <x:c r="E176" s="57"/>
      <x:c r="F176" s="26" t="str">
        <x:f>IF(E176="","",CHOOSE(MOD(E176-1,7)+1,"寒霜日","流水日","泥土日","風暴日","火焰日","狂野日","眾神日"))</x:f>
      </x:c>
      <x:c r="G176" s="26" t="str">
        <x:f>IF(OR(B176="",C176="",E176=""),"",B176&amp;" S.T. · "&amp;C176&amp;" · "&amp;D176&amp;" · "&amp;F176)</x:f>
      </x:c>
      <x:c r="H176" s="28"/>
      <x:c r="I176" s="58"/>
      <x:c r="J176" s="28"/>
      <x:c r="K176" s="28"/>
      <x:c r="L176" s="28"/>
      <x:c r="M176" s="28"/>
      <x:c r="N176" s="28"/>
      <x:c r="O176" s="28"/>
      <x:c r="P176" s="58"/>
      <x:c r="Q176" s="28"/>
      <x:c r="R176" s="33" t="str">
        <x:f>IF(OR(B176="",C176="",E176=""),"",B176*294+CHOOSE(MATCH(C176,{"海洋季","火焰季","大地季","黑暗季","風暴季","聖季期"},0),0,56,112,168,224,280)+E176)</x:f>
      </x:c>
    </x:row>
    <x:row r="177" ht="38" customHeight="1">
      <x:c r="A177" s="33"/>
      <x:c r="B177" s="57"/>
      <x:c r="C177" s="58"/>
      <x:c r="D177" s="26" t="str">
        <x:f>IF(C177="","",IF(C177="聖季期",CHOOSE(ROUNDUP(E177/7,0),"幸運週","命運週"),CHOOSE(ROUNDUP(E177/7,0),"混亂週","和諧週","死亡週","豐饒週","停滯週","運動週","幻象週","真理週")))</x:f>
      </x:c>
      <x:c r="E177" s="57"/>
      <x:c r="F177" s="26" t="str">
        <x:f>IF(E177="","",CHOOSE(MOD(E177-1,7)+1,"寒霜日","流水日","泥土日","風暴日","火焰日","狂野日","眾神日"))</x:f>
      </x:c>
      <x:c r="G177" s="26" t="str">
        <x:f>IF(OR(B177="",C177="",E177=""),"",B177&amp;" S.T. · "&amp;C177&amp;" · "&amp;D177&amp;" · "&amp;F177)</x:f>
      </x:c>
      <x:c r="H177" s="28"/>
      <x:c r="I177" s="58"/>
      <x:c r="J177" s="28"/>
      <x:c r="K177" s="28"/>
      <x:c r="L177" s="28"/>
      <x:c r="M177" s="28"/>
      <x:c r="N177" s="28"/>
      <x:c r="O177" s="28"/>
      <x:c r="P177" s="58"/>
      <x:c r="Q177" s="28"/>
      <x:c r="R177" s="33" t="str">
        <x:f>IF(OR(B177="",C177="",E177=""),"",B177*294+CHOOSE(MATCH(C177,{"海洋季","火焰季","大地季","黑暗季","風暴季","聖季期"},0),0,56,112,168,224,280)+E177)</x:f>
      </x:c>
    </x:row>
    <x:row r="178" ht="38" customHeight="1">
      <x:c r="A178" s="33"/>
      <x:c r="B178" s="57"/>
      <x:c r="C178" s="58"/>
      <x:c r="D178" s="26" t="str">
        <x:f>IF(C178="","",IF(C178="聖季期",CHOOSE(ROUNDUP(E178/7,0),"幸運週","命運週"),CHOOSE(ROUNDUP(E178/7,0),"混亂週","和諧週","死亡週","豐饒週","停滯週","運動週","幻象週","真理週")))</x:f>
      </x:c>
      <x:c r="E178" s="57"/>
      <x:c r="F178" s="26" t="str">
        <x:f>IF(E178="","",CHOOSE(MOD(E178-1,7)+1,"寒霜日","流水日","泥土日","風暴日","火焰日","狂野日","眾神日"))</x:f>
      </x:c>
      <x:c r="G178" s="26" t="str">
        <x:f>IF(OR(B178="",C178="",E178=""),"",B178&amp;" S.T. · "&amp;C178&amp;" · "&amp;D178&amp;" · "&amp;F178)</x:f>
      </x:c>
      <x:c r="H178" s="28"/>
      <x:c r="I178" s="58"/>
      <x:c r="J178" s="28"/>
      <x:c r="K178" s="28"/>
      <x:c r="L178" s="28"/>
      <x:c r="M178" s="28"/>
      <x:c r="N178" s="28"/>
      <x:c r="O178" s="28"/>
      <x:c r="P178" s="58"/>
      <x:c r="Q178" s="28"/>
      <x:c r="R178" s="33" t="str">
        <x:f>IF(OR(B178="",C178="",E178=""),"",B178*294+CHOOSE(MATCH(C178,{"海洋季","火焰季","大地季","黑暗季","風暴季","聖季期"},0),0,56,112,168,224,280)+E178)</x:f>
      </x:c>
    </x:row>
    <x:row r="179" ht="38" customHeight="1">
      <x:c r="A179" s="33"/>
      <x:c r="B179" s="57"/>
      <x:c r="C179" s="58"/>
      <x:c r="D179" s="26" t="str">
        <x:f>IF(C179="","",IF(C179="聖季期",CHOOSE(ROUNDUP(E179/7,0),"幸運週","命運週"),CHOOSE(ROUNDUP(E179/7,0),"混亂週","和諧週","死亡週","豐饒週","停滯週","運動週","幻象週","真理週")))</x:f>
      </x:c>
      <x:c r="E179" s="57"/>
      <x:c r="F179" s="26" t="str">
        <x:f>IF(E179="","",CHOOSE(MOD(E179-1,7)+1,"寒霜日","流水日","泥土日","風暴日","火焰日","狂野日","眾神日"))</x:f>
      </x:c>
      <x:c r="G179" s="26" t="str">
        <x:f>IF(OR(B179="",C179="",E179=""),"",B179&amp;" S.T. · "&amp;C179&amp;" · "&amp;D179&amp;" · "&amp;F179)</x:f>
      </x:c>
      <x:c r="H179" s="28"/>
      <x:c r="I179" s="58"/>
      <x:c r="J179" s="28"/>
      <x:c r="K179" s="28"/>
      <x:c r="L179" s="28"/>
      <x:c r="M179" s="28"/>
      <x:c r="N179" s="28"/>
      <x:c r="O179" s="28"/>
      <x:c r="P179" s="58"/>
      <x:c r="Q179" s="28"/>
      <x:c r="R179" s="33" t="str">
        <x:f>IF(OR(B179="",C179="",E179=""),"",B179*294+CHOOSE(MATCH(C179,{"海洋季","火焰季","大地季","黑暗季","風暴季","聖季期"},0),0,56,112,168,224,280)+E179)</x:f>
      </x:c>
    </x:row>
    <x:row r="180" ht="38" customHeight="1">
      <x:c r="A180" s="33"/>
      <x:c r="B180" s="57"/>
      <x:c r="C180" s="58"/>
      <x:c r="D180" s="26" t="str">
        <x:f>IF(C180="","",IF(C180="聖季期",CHOOSE(ROUNDUP(E180/7,0),"幸運週","命運週"),CHOOSE(ROUNDUP(E180/7,0),"混亂週","和諧週","死亡週","豐饒週","停滯週","運動週","幻象週","真理週")))</x:f>
      </x:c>
      <x:c r="E180" s="57"/>
      <x:c r="F180" s="26" t="str">
        <x:f>IF(E180="","",CHOOSE(MOD(E180-1,7)+1,"寒霜日","流水日","泥土日","風暴日","火焰日","狂野日","眾神日"))</x:f>
      </x:c>
      <x:c r="G180" s="26" t="str">
        <x:f>IF(OR(B180="",C180="",E180=""),"",B180&amp;" S.T. · "&amp;C180&amp;" · "&amp;D180&amp;" · "&amp;F180)</x:f>
      </x:c>
      <x:c r="H180" s="28"/>
      <x:c r="I180" s="58"/>
      <x:c r="J180" s="28"/>
      <x:c r="K180" s="28"/>
      <x:c r="L180" s="28"/>
      <x:c r="M180" s="28"/>
      <x:c r="N180" s="28"/>
      <x:c r="O180" s="28"/>
      <x:c r="P180" s="58"/>
      <x:c r="Q180" s="28"/>
      <x:c r="R180" s="33" t="str">
        <x:f>IF(OR(B180="",C180="",E180=""),"",B180*294+CHOOSE(MATCH(C180,{"海洋季","火焰季","大地季","黑暗季","風暴季","聖季期"},0),0,56,112,168,224,280)+E180)</x:f>
      </x:c>
    </x:row>
    <x:row r="181" ht="38" customHeight="1">
      <x:c r="A181" s="33"/>
      <x:c r="B181" s="57"/>
      <x:c r="C181" s="58"/>
      <x:c r="D181" s="26" t="str">
        <x:f>IF(C181="","",IF(C181="聖季期",CHOOSE(ROUNDUP(E181/7,0),"幸運週","命運週"),CHOOSE(ROUNDUP(E181/7,0),"混亂週","和諧週","死亡週","豐饒週","停滯週","運動週","幻象週","真理週")))</x:f>
      </x:c>
      <x:c r="E181" s="57"/>
      <x:c r="F181" s="26" t="str">
        <x:f>IF(E181="","",CHOOSE(MOD(E181-1,7)+1,"寒霜日","流水日","泥土日","風暴日","火焰日","狂野日","眾神日"))</x:f>
      </x:c>
      <x:c r="G181" s="26" t="str">
        <x:f>IF(OR(B181="",C181="",E181=""),"",B181&amp;" S.T. · "&amp;C181&amp;" · "&amp;D181&amp;" · "&amp;F181)</x:f>
      </x:c>
      <x:c r="H181" s="28"/>
      <x:c r="I181" s="58"/>
      <x:c r="J181" s="28"/>
      <x:c r="K181" s="28"/>
      <x:c r="L181" s="28"/>
      <x:c r="M181" s="28"/>
      <x:c r="N181" s="28"/>
      <x:c r="O181" s="28"/>
      <x:c r="P181" s="58"/>
      <x:c r="Q181" s="28"/>
      <x:c r="R181" s="33" t="str">
        <x:f>IF(OR(B181="",C181="",E181=""),"",B181*294+CHOOSE(MATCH(C181,{"海洋季","火焰季","大地季","黑暗季","風暴季","聖季期"},0),0,56,112,168,224,280)+E181)</x:f>
      </x:c>
    </x:row>
    <x:row r="182" ht="38" customHeight="1">
      <x:c r="A182" s="33"/>
      <x:c r="B182" s="57"/>
      <x:c r="C182" s="58"/>
      <x:c r="D182" s="26" t="str">
        <x:f>IF(C182="","",IF(C182="聖季期",CHOOSE(ROUNDUP(E182/7,0),"幸運週","命運週"),CHOOSE(ROUNDUP(E182/7,0),"混亂週","和諧週","死亡週","豐饒週","停滯週","運動週","幻象週","真理週")))</x:f>
      </x:c>
      <x:c r="E182" s="57"/>
      <x:c r="F182" s="26" t="str">
        <x:f>IF(E182="","",CHOOSE(MOD(E182-1,7)+1,"寒霜日","流水日","泥土日","風暴日","火焰日","狂野日","眾神日"))</x:f>
      </x:c>
      <x:c r="G182" s="26" t="str">
        <x:f>IF(OR(B182="",C182="",E182=""),"",B182&amp;" S.T. · "&amp;C182&amp;" · "&amp;D182&amp;" · "&amp;F182)</x:f>
      </x:c>
      <x:c r="H182" s="28"/>
      <x:c r="I182" s="58"/>
      <x:c r="J182" s="28"/>
      <x:c r="K182" s="28"/>
      <x:c r="L182" s="28"/>
      <x:c r="M182" s="28"/>
      <x:c r="N182" s="28"/>
      <x:c r="O182" s="28"/>
      <x:c r="P182" s="58"/>
      <x:c r="Q182" s="28"/>
      <x:c r="R182" s="33" t="str">
        <x:f>IF(OR(B182="",C182="",E182=""),"",B182*294+CHOOSE(MATCH(C182,{"海洋季","火焰季","大地季","黑暗季","風暴季","聖季期"},0),0,56,112,168,224,280)+E182)</x:f>
      </x:c>
    </x:row>
    <x:row r="183" ht="38" customHeight="1">
      <x:c r="A183" s="33"/>
      <x:c r="B183" s="57"/>
      <x:c r="C183" s="58"/>
      <x:c r="D183" s="26" t="str">
        <x:f>IF(C183="","",IF(C183="聖季期",CHOOSE(ROUNDUP(E183/7,0),"幸運週","命運週"),CHOOSE(ROUNDUP(E183/7,0),"混亂週","和諧週","死亡週","豐饒週","停滯週","運動週","幻象週","真理週")))</x:f>
      </x:c>
      <x:c r="E183" s="57"/>
      <x:c r="F183" s="26" t="str">
        <x:f>IF(E183="","",CHOOSE(MOD(E183-1,7)+1,"寒霜日","流水日","泥土日","風暴日","火焰日","狂野日","眾神日"))</x:f>
      </x:c>
      <x:c r="G183" s="26" t="str">
        <x:f>IF(OR(B183="",C183="",E183=""),"",B183&amp;" S.T. · "&amp;C183&amp;" · "&amp;D183&amp;" · "&amp;F183)</x:f>
      </x:c>
      <x:c r="H183" s="28"/>
      <x:c r="I183" s="58"/>
      <x:c r="J183" s="28"/>
      <x:c r="K183" s="28"/>
      <x:c r="L183" s="28"/>
      <x:c r="M183" s="28"/>
      <x:c r="N183" s="28"/>
      <x:c r="O183" s="28"/>
      <x:c r="P183" s="58"/>
      <x:c r="Q183" s="28"/>
      <x:c r="R183" s="33" t="str">
        <x:f>IF(OR(B183="",C183="",E183=""),"",B183*294+CHOOSE(MATCH(C183,{"海洋季","火焰季","大地季","黑暗季","風暴季","聖季期"},0),0,56,112,168,224,280)+E183)</x:f>
      </x:c>
    </x:row>
    <x:row r="184" ht="38" customHeight="1">
      <x:c r="A184" s="33"/>
      <x:c r="B184" s="57"/>
      <x:c r="C184" s="58"/>
      <x:c r="D184" s="26" t="str">
        <x:f>IF(C184="","",IF(C184="聖季期",CHOOSE(ROUNDUP(E184/7,0),"幸運週","命運週"),CHOOSE(ROUNDUP(E184/7,0),"混亂週","和諧週","死亡週","豐饒週","停滯週","運動週","幻象週","真理週")))</x:f>
      </x:c>
      <x:c r="E184" s="57"/>
      <x:c r="F184" s="26" t="str">
        <x:f>IF(E184="","",CHOOSE(MOD(E184-1,7)+1,"寒霜日","流水日","泥土日","風暴日","火焰日","狂野日","眾神日"))</x:f>
      </x:c>
      <x:c r="G184" s="26" t="str">
        <x:f>IF(OR(B184="",C184="",E184=""),"",B184&amp;" S.T. · "&amp;C184&amp;" · "&amp;D184&amp;" · "&amp;F184)</x:f>
      </x:c>
      <x:c r="H184" s="28"/>
      <x:c r="I184" s="58"/>
      <x:c r="J184" s="28"/>
      <x:c r="K184" s="28"/>
      <x:c r="L184" s="28"/>
      <x:c r="M184" s="28"/>
      <x:c r="N184" s="28"/>
      <x:c r="O184" s="28"/>
      <x:c r="P184" s="58"/>
      <x:c r="Q184" s="28"/>
      <x:c r="R184" s="33" t="str">
        <x:f>IF(OR(B184="",C184="",E184=""),"",B184*294+CHOOSE(MATCH(C184,{"海洋季","火焰季","大地季","黑暗季","風暴季","聖季期"},0),0,56,112,168,224,280)+E184)</x:f>
      </x:c>
    </x:row>
    <x:row r="185" ht="38" customHeight="1">
      <x:c r="A185" s="33"/>
      <x:c r="B185" s="57"/>
      <x:c r="C185" s="58"/>
      <x:c r="D185" s="26" t="str">
        <x:f>IF(C185="","",IF(C185="聖季期",CHOOSE(ROUNDUP(E185/7,0),"幸運週","命運週"),CHOOSE(ROUNDUP(E185/7,0),"混亂週","和諧週","死亡週","豐饒週","停滯週","運動週","幻象週","真理週")))</x:f>
      </x:c>
      <x:c r="E185" s="57"/>
      <x:c r="F185" s="26" t="str">
        <x:f>IF(E185="","",CHOOSE(MOD(E185-1,7)+1,"寒霜日","流水日","泥土日","風暴日","火焰日","狂野日","眾神日"))</x:f>
      </x:c>
      <x:c r="G185" s="26" t="str">
        <x:f>IF(OR(B185="",C185="",E185=""),"",B185&amp;" S.T. · "&amp;C185&amp;" · "&amp;D185&amp;" · "&amp;F185)</x:f>
      </x:c>
      <x:c r="H185" s="28"/>
      <x:c r="I185" s="58"/>
      <x:c r="J185" s="28"/>
      <x:c r="K185" s="28"/>
      <x:c r="L185" s="28"/>
      <x:c r="M185" s="28"/>
      <x:c r="N185" s="28"/>
      <x:c r="O185" s="28"/>
      <x:c r="P185" s="58"/>
      <x:c r="Q185" s="28"/>
      <x:c r="R185" s="33" t="str">
        <x:f>IF(OR(B185="",C185="",E185=""),"",B185*294+CHOOSE(MATCH(C185,{"海洋季","火焰季","大地季","黑暗季","風暴季","聖季期"},0),0,56,112,168,224,280)+E185)</x:f>
      </x:c>
    </x:row>
    <x:row r="186" ht="38" customHeight="1">
      <x:c r="A186" s="33"/>
      <x:c r="B186" s="57"/>
      <x:c r="C186" s="58"/>
      <x:c r="D186" s="26" t="str">
        <x:f>IF(C186="","",IF(C186="聖季期",CHOOSE(ROUNDUP(E186/7,0),"幸運週","命運週"),CHOOSE(ROUNDUP(E186/7,0),"混亂週","和諧週","死亡週","豐饒週","停滯週","運動週","幻象週","真理週")))</x:f>
      </x:c>
      <x:c r="E186" s="57"/>
      <x:c r="F186" s="26" t="str">
        <x:f>IF(E186="","",CHOOSE(MOD(E186-1,7)+1,"寒霜日","流水日","泥土日","風暴日","火焰日","狂野日","眾神日"))</x:f>
      </x:c>
      <x:c r="G186" s="26" t="str">
        <x:f>IF(OR(B186="",C186="",E186=""),"",B186&amp;" S.T. · "&amp;C186&amp;" · "&amp;D186&amp;" · "&amp;F186)</x:f>
      </x:c>
      <x:c r="H186" s="28"/>
      <x:c r="I186" s="58"/>
      <x:c r="J186" s="28"/>
      <x:c r="K186" s="28"/>
      <x:c r="L186" s="28"/>
      <x:c r="M186" s="28"/>
      <x:c r="N186" s="28"/>
      <x:c r="O186" s="28"/>
      <x:c r="P186" s="58"/>
      <x:c r="Q186" s="28"/>
      <x:c r="R186" s="33" t="str">
        <x:f>IF(OR(B186="",C186="",E186=""),"",B186*294+CHOOSE(MATCH(C186,{"海洋季","火焰季","大地季","黑暗季","風暴季","聖季期"},0),0,56,112,168,224,280)+E186)</x:f>
      </x:c>
    </x:row>
    <x:row r="187" ht="38" customHeight="1">
      <x:c r="A187" s="33"/>
      <x:c r="B187" s="57"/>
      <x:c r="C187" s="58"/>
      <x:c r="D187" s="26" t="str">
        <x:f>IF(C187="","",IF(C187="聖季期",CHOOSE(ROUNDUP(E187/7,0),"幸運週","命運週"),CHOOSE(ROUNDUP(E187/7,0),"混亂週","和諧週","死亡週","豐饒週","停滯週","運動週","幻象週","真理週")))</x:f>
      </x:c>
      <x:c r="E187" s="57"/>
      <x:c r="F187" s="26" t="str">
        <x:f>IF(E187="","",CHOOSE(MOD(E187-1,7)+1,"寒霜日","流水日","泥土日","風暴日","火焰日","狂野日","眾神日"))</x:f>
      </x:c>
      <x:c r="G187" s="26" t="str">
        <x:f>IF(OR(B187="",C187="",E187=""),"",B187&amp;" S.T. · "&amp;C187&amp;" · "&amp;D187&amp;" · "&amp;F187)</x:f>
      </x:c>
      <x:c r="H187" s="28"/>
      <x:c r="I187" s="58"/>
      <x:c r="J187" s="28"/>
      <x:c r="K187" s="28"/>
      <x:c r="L187" s="28"/>
      <x:c r="M187" s="28"/>
      <x:c r="N187" s="28"/>
      <x:c r="O187" s="28"/>
      <x:c r="P187" s="58"/>
      <x:c r="Q187" s="28"/>
      <x:c r="R187" s="33" t="str">
        <x:f>IF(OR(B187="",C187="",E187=""),"",B187*294+CHOOSE(MATCH(C187,{"海洋季","火焰季","大地季","黑暗季","風暴季","聖季期"},0),0,56,112,168,224,280)+E187)</x:f>
      </x:c>
    </x:row>
    <x:row r="188" ht="38" customHeight="1">
      <x:c r="A188" s="33"/>
      <x:c r="B188" s="57"/>
      <x:c r="C188" s="58"/>
      <x:c r="D188" s="26" t="str">
        <x:f>IF(C188="","",IF(C188="聖季期",CHOOSE(ROUNDUP(E188/7,0),"幸運週","命運週"),CHOOSE(ROUNDUP(E188/7,0),"混亂週","和諧週","死亡週","豐饒週","停滯週","運動週","幻象週","真理週")))</x:f>
      </x:c>
      <x:c r="E188" s="57"/>
      <x:c r="F188" s="26" t="str">
        <x:f>IF(E188="","",CHOOSE(MOD(E188-1,7)+1,"寒霜日","流水日","泥土日","風暴日","火焰日","狂野日","眾神日"))</x:f>
      </x:c>
      <x:c r="G188" s="26" t="str">
        <x:f>IF(OR(B188="",C188="",E188=""),"",B188&amp;" S.T. · "&amp;C188&amp;" · "&amp;D188&amp;" · "&amp;F188)</x:f>
      </x:c>
      <x:c r="H188" s="28"/>
      <x:c r="I188" s="58"/>
      <x:c r="J188" s="28"/>
      <x:c r="K188" s="28"/>
      <x:c r="L188" s="28"/>
      <x:c r="M188" s="28"/>
      <x:c r="N188" s="28"/>
      <x:c r="O188" s="28"/>
      <x:c r="P188" s="58"/>
      <x:c r="Q188" s="28"/>
      <x:c r="R188" s="33" t="str">
        <x:f>IF(OR(B188="",C188="",E188=""),"",B188*294+CHOOSE(MATCH(C188,{"海洋季","火焰季","大地季","黑暗季","風暴季","聖季期"},0),0,56,112,168,224,280)+E188)</x:f>
      </x:c>
    </x:row>
    <x:row r="189" ht="38" customHeight="1">
      <x:c r="A189" s="33"/>
      <x:c r="B189" s="57"/>
      <x:c r="C189" s="58"/>
      <x:c r="D189" s="26" t="str">
        <x:f>IF(C189="","",IF(C189="聖季期",CHOOSE(ROUNDUP(E189/7,0),"幸運週","命運週"),CHOOSE(ROUNDUP(E189/7,0),"混亂週","和諧週","死亡週","豐饒週","停滯週","運動週","幻象週","真理週")))</x:f>
      </x:c>
      <x:c r="E189" s="57"/>
      <x:c r="F189" s="26" t="str">
        <x:f>IF(E189="","",CHOOSE(MOD(E189-1,7)+1,"寒霜日","流水日","泥土日","風暴日","火焰日","狂野日","眾神日"))</x:f>
      </x:c>
      <x:c r="G189" s="26" t="str">
        <x:f>IF(OR(B189="",C189="",E189=""),"",B189&amp;" S.T. · "&amp;C189&amp;" · "&amp;D189&amp;" · "&amp;F189)</x:f>
      </x:c>
      <x:c r="H189" s="28"/>
      <x:c r="I189" s="58"/>
      <x:c r="J189" s="28"/>
      <x:c r="K189" s="28"/>
      <x:c r="L189" s="28"/>
      <x:c r="M189" s="28"/>
      <x:c r="N189" s="28"/>
      <x:c r="O189" s="28"/>
      <x:c r="P189" s="58"/>
      <x:c r="Q189" s="28"/>
      <x:c r="R189" s="33" t="str">
        <x:f>IF(OR(B189="",C189="",E189=""),"",B189*294+CHOOSE(MATCH(C189,{"海洋季","火焰季","大地季","黑暗季","風暴季","聖季期"},0),0,56,112,168,224,280)+E189)</x:f>
      </x:c>
    </x:row>
    <x:row r="190" ht="38" customHeight="1">
      <x:c r="A190" s="33"/>
      <x:c r="B190" s="57"/>
      <x:c r="C190" s="58"/>
      <x:c r="D190" s="26" t="str">
        <x:f>IF(C190="","",IF(C190="聖季期",CHOOSE(ROUNDUP(E190/7,0),"幸運週","命運週"),CHOOSE(ROUNDUP(E190/7,0),"混亂週","和諧週","死亡週","豐饒週","停滯週","運動週","幻象週","真理週")))</x:f>
      </x:c>
      <x:c r="E190" s="57"/>
      <x:c r="F190" s="26" t="str">
        <x:f>IF(E190="","",CHOOSE(MOD(E190-1,7)+1,"寒霜日","流水日","泥土日","風暴日","火焰日","狂野日","眾神日"))</x:f>
      </x:c>
      <x:c r="G190" s="26" t="str">
        <x:f>IF(OR(B190="",C190="",E190=""),"",B190&amp;" S.T. · "&amp;C190&amp;" · "&amp;D190&amp;" · "&amp;F190)</x:f>
      </x:c>
      <x:c r="H190" s="28"/>
      <x:c r="I190" s="58"/>
      <x:c r="J190" s="28"/>
      <x:c r="K190" s="28"/>
      <x:c r="L190" s="28"/>
      <x:c r="M190" s="28"/>
      <x:c r="N190" s="28"/>
      <x:c r="O190" s="28"/>
      <x:c r="P190" s="58"/>
      <x:c r="Q190" s="28"/>
      <x:c r="R190" s="33" t="str">
        <x:f>IF(OR(B190="",C190="",E190=""),"",B190*294+CHOOSE(MATCH(C190,{"海洋季","火焰季","大地季","黑暗季","風暴季","聖季期"},0),0,56,112,168,224,280)+E190)</x:f>
      </x:c>
    </x:row>
    <x:row r="191" ht="38" customHeight="1">
      <x:c r="A191" s="33"/>
      <x:c r="B191" s="57"/>
      <x:c r="C191" s="58"/>
      <x:c r="D191" s="26" t="str">
        <x:f>IF(C191="","",IF(C191="聖季期",CHOOSE(ROUNDUP(E191/7,0),"幸運週","命運週"),CHOOSE(ROUNDUP(E191/7,0),"混亂週","和諧週","死亡週","豐饒週","停滯週","運動週","幻象週","真理週")))</x:f>
      </x:c>
      <x:c r="E191" s="57"/>
      <x:c r="F191" s="26" t="str">
        <x:f>IF(E191="","",CHOOSE(MOD(E191-1,7)+1,"寒霜日","流水日","泥土日","風暴日","火焰日","狂野日","眾神日"))</x:f>
      </x:c>
      <x:c r="G191" s="26" t="str">
        <x:f>IF(OR(B191="",C191="",E191=""),"",B191&amp;" S.T. · "&amp;C191&amp;" · "&amp;D191&amp;" · "&amp;F191)</x:f>
      </x:c>
      <x:c r="H191" s="28"/>
      <x:c r="I191" s="58"/>
      <x:c r="J191" s="28"/>
      <x:c r="K191" s="28"/>
      <x:c r="L191" s="28"/>
      <x:c r="M191" s="28"/>
      <x:c r="N191" s="28"/>
      <x:c r="O191" s="28"/>
      <x:c r="P191" s="58"/>
      <x:c r="Q191" s="28"/>
      <x:c r="R191" s="33" t="str">
        <x:f>IF(OR(B191="",C191="",E191=""),"",B191*294+CHOOSE(MATCH(C191,{"海洋季","火焰季","大地季","黑暗季","風暴季","聖季期"},0),0,56,112,168,224,280)+E191)</x:f>
      </x:c>
    </x:row>
    <x:row r="192" ht="38" customHeight="1">
      <x:c r="A192" s="33"/>
      <x:c r="B192" s="57"/>
      <x:c r="C192" s="58"/>
      <x:c r="D192" s="26" t="str">
        <x:f>IF(C192="","",IF(C192="聖季期",CHOOSE(ROUNDUP(E192/7,0),"幸運週","命運週"),CHOOSE(ROUNDUP(E192/7,0),"混亂週","和諧週","死亡週","豐饒週","停滯週","運動週","幻象週","真理週")))</x:f>
      </x:c>
      <x:c r="E192" s="57"/>
      <x:c r="F192" s="26" t="str">
        <x:f>IF(E192="","",CHOOSE(MOD(E192-1,7)+1,"寒霜日","流水日","泥土日","風暴日","火焰日","狂野日","眾神日"))</x:f>
      </x:c>
      <x:c r="G192" s="26" t="str">
        <x:f>IF(OR(B192="",C192="",E192=""),"",B192&amp;" S.T. · "&amp;C192&amp;" · "&amp;D192&amp;" · "&amp;F192)</x:f>
      </x:c>
      <x:c r="H192" s="28"/>
      <x:c r="I192" s="58"/>
      <x:c r="J192" s="28"/>
      <x:c r="K192" s="28"/>
      <x:c r="L192" s="28"/>
      <x:c r="M192" s="28"/>
      <x:c r="N192" s="28"/>
      <x:c r="O192" s="28"/>
      <x:c r="P192" s="58"/>
      <x:c r="Q192" s="28"/>
      <x:c r="R192" s="33" t="str">
        <x:f>IF(OR(B192="",C192="",E192=""),"",B192*294+CHOOSE(MATCH(C192,{"海洋季","火焰季","大地季","黑暗季","風暴季","聖季期"},0),0,56,112,168,224,280)+E192)</x:f>
      </x:c>
    </x:row>
    <x:row r="193" ht="38" customHeight="1">
      <x:c r="A193" s="33"/>
      <x:c r="B193" s="57"/>
      <x:c r="C193" s="58"/>
      <x:c r="D193" s="26" t="str">
        <x:f>IF(C193="","",IF(C193="聖季期",CHOOSE(ROUNDUP(E193/7,0),"幸運週","命運週"),CHOOSE(ROUNDUP(E193/7,0),"混亂週","和諧週","死亡週","豐饒週","停滯週","運動週","幻象週","真理週")))</x:f>
      </x:c>
      <x:c r="E193" s="57"/>
      <x:c r="F193" s="26" t="str">
        <x:f>IF(E193="","",CHOOSE(MOD(E193-1,7)+1,"寒霜日","流水日","泥土日","風暴日","火焰日","狂野日","眾神日"))</x:f>
      </x:c>
      <x:c r="G193" s="26" t="str">
        <x:f>IF(OR(B193="",C193="",E193=""),"",B193&amp;" S.T. · "&amp;C193&amp;" · "&amp;D193&amp;" · "&amp;F193)</x:f>
      </x:c>
      <x:c r="H193" s="28"/>
      <x:c r="I193" s="58"/>
      <x:c r="J193" s="28"/>
      <x:c r="K193" s="28"/>
      <x:c r="L193" s="28"/>
      <x:c r="M193" s="28"/>
      <x:c r="N193" s="28"/>
      <x:c r="O193" s="28"/>
      <x:c r="P193" s="58"/>
      <x:c r="Q193" s="28"/>
      <x:c r="R193" s="33" t="str">
        <x:f>IF(OR(B193="",C193="",E193=""),"",B193*294+CHOOSE(MATCH(C193,{"海洋季","火焰季","大地季","黑暗季","風暴季","聖季期"},0),0,56,112,168,224,280)+E193)</x:f>
      </x:c>
    </x:row>
    <x:row r="194" ht="38" customHeight="1">
      <x:c r="A194" s="33"/>
      <x:c r="B194" s="57"/>
      <x:c r="C194" s="58"/>
      <x:c r="D194" s="26" t="str">
        <x:f>IF(C194="","",IF(C194="聖季期",CHOOSE(ROUNDUP(E194/7,0),"幸運週","命運週"),CHOOSE(ROUNDUP(E194/7,0),"混亂週","和諧週","死亡週","豐饒週","停滯週","運動週","幻象週","真理週")))</x:f>
      </x:c>
      <x:c r="E194" s="57"/>
      <x:c r="F194" s="26" t="str">
        <x:f>IF(E194="","",CHOOSE(MOD(E194-1,7)+1,"寒霜日","流水日","泥土日","風暴日","火焰日","狂野日","眾神日"))</x:f>
      </x:c>
      <x:c r="G194" s="26" t="str">
        <x:f>IF(OR(B194="",C194="",E194=""),"",B194&amp;" S.T. · "&amp;C194&amp;" · "&amp;D194&amp;" · "&amp;F194)</x:f>
      </x:c>
      <x:c r="H194" s="28"/>
      <x:c r="I194" s="58"/>
      <x:c r="J194" s="28"/>
      <x:c r="K194" s="28"/>
      <x:c r="L194" s="28"/>
      <x:c r="M194" s="28"/>
      <x:c r="N194" s="28"/>
      <x:c r="O194" s="28"/>
      <x:c r="P194" s="58"/>
      <x:c r="Q194" s="28"/>
      <x:c r="R194" s="33" t="str">
        <x:f>IF(OR(B194="",C194="",E194=""),"",B194*294+CHOOSE(MATCH(C194,{"海洋季","火焰季","大地季","黑暗季","風暴季","聖季期"},0),0,56,112,168,224,280)+E194)</x:f>
      </x:c>
    </x:row>
    <x:row r="195" ht="38" customHeight="1">
      <x:c r="A195" s="33"/>
      <x:c r="B195" s="57"/>
      <x:c r="C195" s="58"/>
      <x:c r="D195" s="26" t="str">
        <x:f>IF(C195="","",IF(C195="聖季期",CHOOSE(ROUNDUP(E195/7,0),"幸運週","命運週"),CHOOSE(ROUNDUP(E195/7,0),"混亂週","和諧週","死亡週","豐饒週","停滯週","運動週","幻象週","真理週")))</x:f>
      </x:c>
      <x:c r="E195" s="57"/>
      <x:c r="F195" s="26" t="str">
        <x:f>IF(E195="","",CHOOSE(MOD(E195-1,7)+1,"寒霜日","流水日","泥土日","風暴日","火焰日","狂野日","眾神日"))</x:f>
      </x:c>
      <x:c r="G195" s="26" t="str">
        <x:f>IF(OR(B195="",C195="",E195=""),"",B195&amp;" S.T. · "&amp;C195&amp;" · "&amp;D195&amp;" · "&amp;F195)</x:f>
      </x:c>
      <x:c r="H195" s="28"/>
      <x:c r="I195" s="58"/>
      <x:c r="J195" s="28"/>
      <x:c r="K195" s="28"/>
      <x:c r="L195" s="28"/>
      <x:c r="M195" s="28"/>
      <x:c r="N195" s="28"/>
      <x:c r="O195" s="28"/>
      <x:c r="P195" s="58"/>
      <x:c r="Q195" s="28"/>
      <x:c r="R195" s="33" t="str">
        <x:f>IF(OR(B195="",C195="",E195=""),"",B195*294+CHOOSE(MATCH(C195,{"海洋季","火焰季","大地季","黑暗季","風暴季","聖季期"},0),0,56,112,168,224,280)+E195)</x:f>
      </x:c>
    </x:row>
    <x:row r="196" ht="38" customHeight="1">
      <x:c r="A196" s="33"/>
      <x:c r="B196" s="57"/>
      <x:c r="C196" s="58"/>
      <x:c r="D196" s="26" t="str">
        <x:f>IF(C196="","",IF(C196="聖季期",CHOOSE(ROUNDUP(E196/7,0),"幸運週","命運週"),CHOOSE(ROUNDUP(E196/7,0),"混亂週","和諧週","死亡週","豐饒週","停滯週","運動週","幻象週","真理週")))</x:f>
      </x:c>
      <x:c r="E196" s="57"/>
      <x:c r="F196" s="26" t="str">
        <x:f>IF(E196="","",CHOOSE(MOD(E196-1,7)+1,"寒霜日","流水日","泥土日","風暴日","火焰日","狂野日","眾神日"))</x:f>
      </x:c>
      <x:c r="G196" s="26" t="str">
        <x:f>IF(OR(B196="",C196="",E196=""),"",B196&amp;" S.T. · "&amp;C196&amp;" · "&amp;D196&amp;" · "&amp;F196)</x:f>
      </x:c>
      <x:c r="H196" s="28"/>
      <x:c r="I196" s="58"/>
      <x:c r="J196" s="28"/>
      <x:c r="K196" s="28"/>
      <x:c r="L196" s="28"/>
      <x:c r="M196" s="28"/>
      <x:c r="N196" s="28"/>
      <x:c r="O196" s="28"/>
      <x:c r="P196" s="58"/>
      <x:c r="Q196" s="28"/>
      <x:c r="R196" s="33" t="str">
        <x:f>IF(OR(B196="",C196="",E196=""),"",B196*294+CHOOSE(MATCH(C196,{"海洋季","火焰季","大地季","黑暗季","風暴季","聖季期"},0),0,56,112,168,224,280)+E196)</x:f>
      </x:c>
    </x:row>
    <x:row r="197" ht="38" customHeight="1">
      <x:c r="A197" s="33"/>
      <x:c r="B197" s="57"/>
      <x:c r="C197" s="58"/>
      <x:c r="D197" s="26" t="str">
        <x:f>IF(C197="","",IF(C197="聖季期",CHOOSE(ROUNDUP(E197/7,0),"幸運週","命運週"),CHOOSE(ROUNDUP(E197/7,0),"混亂週","和諧週","死亡週","豐饒週","停滯週","運動週","幻象週","真理週")))</x:f>
      </x:c>
      <x:c r="E197" s="57"/>
      <x:c r="F197" s="26" t="str">
        <x:f>IF(E197="","",CHOOSE(MOD(E197-1,7)+1,"寒霜日","流水日","泥土日","風暴日","火焰日","狂野日","眾神日"))</x:f>
      </x:c>
      <x:c r="G197" s="26" t="str">
        <x:f>IF(OR(B197="",C197="",E197=""),"",B197&amp;" S.T. · "&amp;C197&amp;" · "&amp;D197&amp;" · "&amp;F197)</x:f>
      </x:c>
      <x:c r="H197" s="28"/>
      <x:c r="I197" s="58"/>
      <x:c r="J197" s="28"/>
      <x:c r="K197" s="28"/>
      <x:c r="L197" s="28"/>
      <x:c r="M197" s="28"/>
      <x:c r="N197" s="28"/>
      <x:c r="O197" s="28"/>
      <x:c r="P197" s="58"/>
      <x:c r="Q197" s="28"/>
      <x:c r="R197" s="33" t="str">
        <x:f>IF(OR(B197="",C197="",E197=""),"",B197*294+CHOOSE(MATCH(C197,{"海洋季","火焰季","大地季","黑暗季","風暴季","聖季期"},0),0,56,112,168,224,280)+E197)</x:f>
      </x:c>
    </x:row>
    <x:row r="198" ht="38" customHeight="1">
      <x:c r="A198" s="33"/>
      <x:c r="B198" s="57"/>
      <x:c r="C198" s="58"/>
      <x:c r="D198" s="26" t="str">
        <x:f>IF(C198="","",IF(C198="聖季期",CHOOSE(ROUNDUP(E198/7,0),"幸運週","命運週"),CHOOSE(ROUNDUP(E198/7,0),"混亂週","和諧週","死亡週","豐饒週","停滯週","運動週","幻象週","真理週")))</x:f>
      </x:c>
      <x:c r="E198" s="57"/>
      <x:c r="F198" s="26" t="str">
        <x:f>IF(E198="","",CHOOSE(MOD(E198-1,7)+1,"寒霜日","流水日","泥土日","風暴日","火焰日","狂野日","眾神日"))</x:f>
      </x:c>
      <x:c r="G198" s="26" t="str">
        <x:f>IF(OR(B198="",C198="",E198=""),"",B198&amp;" S.T. · "&amp;C198&amp;" · "&amp;D198&amp;" · "&amp;F198)</x:f>
      </x:c>
      <x:c r="H198" s="28"/>
      <x:c r="I198" s="58"/>
      <x:c r="J198" s="28"/>
      <x:c r="K198" s="28"/>
      <x:c r="L198" s="28"/>
      <x:c r="M198" s="28"/>
      <x:c r="N198" s="28"/>
      <x:c r="O198" s="28"/>
      <x:c r="P198" s="58"/>
      <x:c r="Q198" s="28"/>
      <x:c r="R198" s="33" t="str">
        <x:f>IF(OR(B198="",C198="",E198=""),"",B198*294+CHOOSE(MATCH(C198,{"海洋季","火焰季","大地季","黑暗季","風暴季","聖季期"},0),0,56,112,168,224,280)+E198)</x:f>
      </x:c>
    </x:row>
    <x:row r="199" ht="38" customHeight="1">
      <x:c r="A199" s="33"/>
      <x:c r="B199" s="57"/>
      <x:c r="C199" s="58"/>
      <x:c r="D199" s="26" t="str">
        <x:f>IF(C199="","",IF(C199="聖季期",CHOOSE(ROUNDUP(E199/7,0),"幸運週","命運週"),CHOOSE(ROUNDUP(E199/7,0),"混亂週","和諧週","死亡週","豐饒週","停滯週","運動週","幻象週","真理週")))</x:f>
      </x:c>
      <x:c r="E199" s="57"/>
      <x:c r="F199" s="26" t="str">
        <x:f>IF(E199="","",CHOOSE(MOD(E199-1,7)+1,"寒霜日","流水日","泥土日","風暴日","火焰日","狂野日","眾神日"))</x:f>
      </x:c>
      <x:c r="G199" s="26" t="str">
        <x:f>IF(OR(B199="",C199="",E199=""),"",B199&amp;" S.T. · "&amp;C199&amp;" · "&amp;D199&amp;" · "&amp;F199)</x:f>
      </x:c>
      <x:c r="H199" s="28"/>
      <x:c r="I199" s="58"/>
      <x:c r="J199" s="28"/>
      <x:c r="K199" s="28"/>
      <x:c r="L199" s="28"/>
      <x:c r="M199" s="28"/>
      <x:c r="N199" s="28"/>
      <x:c r="O199" s="28"/>
      <x:c r="P199" s="58"/>
      <x:c r="Q199" s="28"/>
      <x:c r="R199" s="33" t="str">
        <x:f>IF(OR(B199="",C199="",E199=""),"",B199*294+CHOOSE(MATCH(C199,{"海洋季","火焰季","大地季","黑暗季","風暴季","聖季期"},0),0,56,112,168,224,280)+E199)</x:f>
      </x:c>
    </x:row>
    <x:row r="200" ht="38" customHeight="1">
      <x:c r="A200" s="33"/>
      <x:c r="B200" s="57"/>
      <x:c r="C200" s="58"/>
      <x:c r="D200" s="26" t="str">
        <x:f>IF(C200="","",IF(C200="聖季期",CHOOSE(ROUNDUP(E200/7,0),"幸運週","命運週"),CHOOSE(ROUNDUP(E200/7,0),"混亂週","和諧週","死亡週","豐饒週","停滯週","運動週","幻象週","真理週")))</x:f>
      </x:c>
      <x:c r="E200" s="57"/>
      <x:c r="F200" s="26" t="str">
        <x:f>IF(E200="","",CHOOSE(MOD(E200-1,7)+1,"寒霜日","流水日","泥土日","風暴日","火焰日","狂野日","眾神日"))</x:f>
      </x:c>
      <x:c r="G200" s="26" t="str">
        <x:f>IF(OR(B200="",C200="",E200=""),"",B200&amp;" S.T. · "&amp;C200&amp;" · "&amp;D200&amp;" · "&amp;F200)</x:f>
      </x:c>
      <x:c r="H200" s="28"/>
      <x:c r="I200" s="58"/>
      <x:c r="J200" s="28"/>
      <x:c r="K200" s="28"/>
      <x:c r="L200" s="28"/>
      <x:c r="M200" s="28"/>
      <x:c r="N200" s="28"/>
      <x:c r="O200" s="28"/>
      <x:c r="P200" s="58"/>
      <x:c r="Q200" s="28"/>
      <x:c r="R200" s="33" t="str">
        <x:f>IF(OR(B200="",C200="",E200=""),"",B200*294+CHOOSE(MATCH(C200,{"海洋季","火焰季","大地季","黑暗季","風暴季","聖季期"},0),0,56,112,168,224,280)+E200)</x:f>
      </x:c>
    </x:row>
    <x:row r="201" ht="38" customHeight="1">
      <x:c r="A201" s="33"/>
      <x:c r="B201" s="57"/>
      <x:c r="C201" s="58"/>
      <x:c r="D201" s="26" t="str">
        <x:f>IF(C201="","",IF(C201="聖季期",CHOOSE(ROUNDUP(E201/7,0),"幸運週","命運週"),CHOOSE(ROUNDUP(E201/7,0),"混亂週","和諧週","死亡週","豐饒週","停滯週","運動週","幻象週","真理週")))</x:f>
      </x:c>
      <x:c r="E201" s="57"/>
      <x:c r="F201" s="26" t="str">
        <x:f>IF(E201="","",CHOOSE(MOD(E201-1,7)+1,"寒霜日","流水日","泥土日","風暴日","火焰日","狂野日","眾神日"))</x:f>
      </x:c>
      <x:c r="G201" s="26" t="str">
        <x:f>IF(OR(B201="",C201="",E201=""),"",B201&amp;" S.T. · "&amp;C201&amp;" · "&amp;D201&amp;" · "&amp;F201)</x:f>
      </x:c>
      <x:c r="H201" s="28"/>
      <x:c r="I201" s="58"/>
      <x:c r="J201" s="28"/>
      <x:c r="K201" s="28"/>
      <x:c r="L201" s="28"/>
      <x:c r="M201" s="28"/>
      <x:c r="N201" s="28"/>
      <x:c r="O201" s="28"/>
      <x:c r="P201" s="58"/>
      <x:c r="Q201" s="28"/>
      <x:c r="R201" s="33" t="str">
        <x:f>IF(OR(B201="",C201="",E201=""),"",B201*294+CHOOSE(MATCH(C201,{"海洋季","火焰季","大地季","黑暗季","風暴季","聖季期"},0),0,56,112,168,224,280)+E201)</x:f>
      </x:c>
    </x:row>
    <x:row r="202" ht="38" customHeight="1">
      <x:c r="A202" s="33"/>
      <x:c r="B202" s="57"/>
      <x:c r="C202" s="58"/>
      <x:c r="D202" s="26" t="str">
        <x:f>IF(C202="","",IF(C202="聖季期",CHOOSE(ROUNDUP(E202/7,0),"幸運週","命運週"),CHOOSE(ROUNDUP(E202/7,0),"混亂週","和諧週","死亡週","豐饒週","停滯週","運動週","幻象週","真理週")))</x:f>
      </x:c>
      <x:c r="E202" s="57"/>
      <x:c r="F202" s="26" t="str">
        <x:f>IF(E202="","",CHOOSE(MOD(E202-1,7)+1,"寒霜日","流水日","泥土日","風暴日","火焰日","狂野日","眾神日"))</x:f>
      </x:c>
      <x:c r="G202" s="26" t="str">
        <x:f>IF(OR(B202="",C202="",E202=""),"",B202&amp;" S.T. · "&amp;C202&amp;" · "&amp;D202&amp;" · "&amp;F202)</x:f>
      </x:c>
      <x:c r="H202" s="28"/>
      <x:c r="I202" s="58"/>
      <x:c r="J202" s="28"/>
      <x:c r="K202" s="28"/>
      <x:c r="L202" s="28"/>
      <x:c r="M202" s="28"/>
      <x:c r="N202" s="28"/>
      <x:c r="O202" s="28"/>
      <x:c r="P202" s="58"/>
      <x:c r="Q202" s="28"/>
      <x:c r="R202" s="33" t="str">
        <x:f>IF(OR(B202="",C202="",E202=""),"",B202*294+CHOOSE(MATCH(C202,{"海洋季","火焰季","大地季","黑暗季","風暴季","聖季期"},0),0,56,112,168,224,280)+E202)</x:f>
      </x:c>
    </x:row>
    <x:row r="203" ht="38" customHeight="1">
      <x:c r="A203" s="33"/>
      <x:c r="B203" s="57"/>
      <x:c r="C203" s="58"/>
      <x:c r="D203" s="26" t="str">
        <x:f>IF(C203="","",IF(C203="聖季期",CHOOSE(ROUNDUP(E203/7,0),"幸運週","命運週"),CHOOSE(ROUNDUP(E203/7,0),"混亂週","和諧週","死亡週","豐饒週","停滯週","運動週","幻象週","真理週")))</x:f>
      </x:c>
      <x:c r="E203" s="57"/>
      <x:c r="F203" s="26" t="str">
        <x:f>IF(E203="","",CHOOSE(MOD(E203-1,7)+1,"寒霜日","流水日","泥土日","風暴日","火焰日","狂野日","眾神日"))</x:f>
      </x:c>
      <x:c r="G203" s="26" t="str">
        <x:f>IF(OR(B203="",C203="",E203=""),"",B203&amp;" S.T. · "&amp;C203&amp;" · "&amp;D203&amp;" · "&amp;F203)</x:f>
      </x:c>
      <x:c r="H203" s="28"/>
      <x:c r="I203" s="58"/>
      <x:c r="J203" s="28"/>
      <x:c r="K203" s="28"/>
      <x:c r="L203" s="28"/>
      <x:c r="M203" s="28"/>
      <x:c r="N203" s="28"/>
      <x:c r="O203" s="28"/>
      <x:c r="P203" s="58"/>
      <x:c r="Q203" s="28"/>
      <x:c r="R203" s="33" t="str">
        <x:f>IF(OR(B203="",C203="",E203=""),"",B203*294+CHOOSE(MATCH(C203,{"海洋季","火焰季","大地季","黑暗季","風暴季","聖季期"},0),0,56,112,168,224,280)+E203)</x:f>
      </x:c>
    </x:row>
    <x:row r="204" ht="38" customHeight="1">
      <x:c r="A204" s="34"/>
      <x:c r="B204" s="59"/>
      <x:c r="C204" s="60"/>
      <x:c r="D204" s="29" t="str">
        <x:f>IF(C204="","",IF(C204="聖季期",CHOOSE(ROUNDUP(E204/7,0),"幸運週","命運週"),CHOOSE(ROUNDUP(E204/7,0),"混亂週","和諧週","死亡週","豐饒週","停滯週","運動週","幻象週","真理週")))</x:f>
      </x:c>
      <x:c r="E204" s="59"/>
      <x:c r="F204" s="29" t="str">
        <x:f>IF(E204="","",CHOOSE(MOD(E204-1,7)+1,"寒霜日","流水日","泥土日","風暴日","火焰日","狂野日","眾神日"))</x:f>
      </x:c>
      <x:c r="G204" s="29" t="str">
        <x:f>IF(OR(B204="",C204="",E204=""),"",B204&amp;" S.T. · "&amp;C204&amp;" · "&amp;D204&amp;" · "&amp;F204)</x:f>
      </x:c>
      <x:c r="H204" s="31"/>
      <x:c r="I204" s="60"/>
      <x:c r="J204" s="31"/>
      <x:c r="K204" s="31"/>
      <x:c r="L204" s="31"/>
      <x:c r="M204" s="31"/>
      <x:c r="N204" s="31"/>
      <x:c r="O204" s="31"/>
      <x:c r="P204" s="60"/>
      <x:c r="Q204" s="31"/>
      <x:c r="R204" s="34" t="str">
        <x:f>IF(OR(B204="",C204="",E204=""),"",B204*294+CHOOSE(MATCH(C204,{"海洋季","火焰季","大地季","黑暗季","風暴季","聖季期"},0),0,56,112,168,224,280)+E204)</x:f>
      </x:c>
    </x:row>
  </x:sheetData>
  <x:mergeCells>
    <x:mergeCell ref="A1:R1"/>
    <x:mergeCell ref="A2:R2"/>
  </x:mergeCells>
  <x:conditionalFormatting sqref="A4:R204">
    <x:cfRule type="containsText" dxfId="0" priority="1" operator="containsText" text="至高聖日"/>
    <x:cfRule type="containsText" dxfId="1" priority="2" operator="containsText" text="未解決"/>
  </x:conditionalFormatting>
  <x:dataValidations count="5">
    <x:dataValidation type="list" sqref="C5:C204">
      <x:formula1>'設定'!$A$2:$A$7</x:formula1>
    </x:dataValidation>
    <x:dataValidation type="list" sqref="I5:I204">
      <x:formula1>'設定'!$C$2:$C$9</x:formula1>
    </x:dataValidation>
    <x:dataValidation type="list" sqref="P5:P204">
      <x:formula1>'設定'!$D$2:$D$5</x:formula1>
    </x:dataValidation>
    <x:dataValidation type="list" sqref="E5:E204">
      <x:formula1>'設定'!$H$2:$H$57</x:formula1>
    </x:dataValidation>
    <x:dataValidation type="list" sqref="B5:B204">
      <x:formula1>'設定'!$G$2:$G$102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8020c8a8524b8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14" hidden="0" customWidth="1"/>
    <x:col min="5" max="5" width="18" hidden="0" customWidth="1"/>
    <x:col min="6" max="6" width="24" hidden="0" customWidth="1"/>
    <x:col min="7" max="7" width="34" hidden="0" customWidth="1"/>
    <x:col min="8" max="8" width="30" hidden="0" customWidth="1"/>
  </x:cols>
  <x:sheetData>
    <x:row r="1" ht="34" customHeight="1">
      <x:c r="A1" s="39" t="str">
        <x:v>戰役時間線 · CAMPAIGN TIMELINE</x:v>
      </x:c>
      <x:c r="B1" s="39"/>
      <x:c r="C1" s="39"/>
      <x:c r="D1" s="39"/>
      <x:c r="E1" s="39"/>
      <x:c r="F1" s="39"/>
      <x:c r="G1" s="39"/>
      <x:c r="H1" s="39"/>
    </x:row>
    <x:row r="2" ht="26" customHeight="1">
      <x:c r="A2" s="8" t="str">
        <x:v>依「編年史」工作表的排序值排列；新增事件後，可使用 Excel 的排序功能更新時間順序。</x:v>
      </x:c>
      <x:c r="B2" s="8"/>
      <x:c r="C2" s="8"/>
      <x:c r="D2" s="8"/>
      <x:c r="E2" s="8"/>
      <x:c r="F2" s="8"/>
      <x:c r="G2" s="8"/>
      <x:c r="H2" s="8"/>
    </x:row>
    <x:row r="4" ht="30" customHeight="1">
      <x:c r="A4" s="44" t="str">
        <x:v>S.T. 年</x:v>
      </x:c>
      <x:c r="B4" s="44" t="str">
        <x:v>曆法日期</x:v>
      </x:c>
      <x:c r="C4" s="44" t="str">
        <x:v>事件標題</x:v>
      </x:c>
      <x:c r="D4" s="44" t="str">
        <x:v>類型</x:v>
      </x:c>
      <x:c r="E4" s="44" t="str">
        <x:v>地點</x:v>
      </x:c>
      <x:c r="F4" s="44" t="str">
        <x:v>參與角色</x:v>
      </x:c>
      <x:c r="G4" s="44" t="str">
        <x:v>事件摘要</x:v>
      </x:c>
      <x:c r="H4" s="44" t="str">
        <x:v>後果／變化</x:v>
      </x:c>
    </x:row>
    <x:row r="5" ht="42" customHeight="1">
      <x:c r="A5" s="45" t="n">
        <x:f>IF('編年史'!A5="","",'編年史'!B5)</x:f>
        <x:v>1625</x:v>
      </x:c>
      <x:c r="B5" s="46" t="str">
        <x:f>IF('編年史'!A5="","",'編年史'!G5)</x:f>
        <x:v>1625 S.T. · 海洋季 · 混亂週 · 寒霜日</x:v>
      </x:c>
      <x:c r="C5" s="47" t="str">
        <x:f>IF('編年史'!A5="","",'編年史'!H5)</x:f>
        <x:v>返回故鄉</x:v>
      </x:c>
      <x:c r="D5" s="47" t="str">
        <x:f>IF('編年史'!A5="","",'編年史'!I5)</x:f>
        <x:v>旅行</x:v>
      </x:c>
      <x:c r="E5" s="47" t="str">
        <x:f>IF('編年史'!A5="","",'編年史'!J5)</x:f>
        <x:v>薩塔爾</x:v>
      </x:c>
      <x:c r="F5" s="47" t="str">
        <x:f>IF('編年史'!A5="","",'編年史'!K5)</x:f>
        <x:v>冒險者一行</x:v>
      </x:c>
      <x:c r="G5" s="47" t="str">
        <x:f>IF('編年史'!A5="","",'編年史'!L5)</x:f>
        <x:v>眾人結束遠行，返回氏族領地。</x:v>
      </x:c>
      <x:c r="H5" s="47" t="str">
        <x:f>IF('編年史'!A5="","",'編年史'!N5)</x:f>
        <x:v>重新建立氏族忠誠。</x:v>
      </x:c>
    </x:row>
    <x:row r="6" ht="42" customHeight="1">
      <x:c r="A6" s="45" t="n">
        <x:f>IF('編年史'!A6="","",'編年史'!B6)</x:f>
        <x:v>1625</x:v>
      </x:c>
      <x:c r="B6" s="46" t="str">
        <x:f>IF('編年史'!A6="","",'編年史'!G6)</x:f>
        <x:v>1625 S.T. · 火焰季 · 和諧週 · 火焰日</x:v>
      </x:c>
      <x:c r="C6" s="47" t="str">
        <x:f>IF('編年史'!A6="","",'編年史'!H6)</x:f>
        <x:v>夏至祭儀</x:v>
      </x:c>
      <x:c r="D6" s="47" t="str">
        <x:f>IF('編年史'!A6="","",'編年史'!I6)</x:f>
        <x:v>儀式</x:v>
      </x:c>
      <x:c r="E6" s="47" t="str">
        <x:f>IF('編年史'!A6="","",'編年史'!J6)</x:f>
        <x:v>氏族神殿</x:v>
      </x:c>
      <x:c r="F6" s="47" t="str">
        <x:f>IF('編年史'!A6="","",'編年史'!K6)</x:f>
        <x:v>氏族全體</x:v>
      </x:c>
      <x:c r="G6" s="47" t="str">
        <x:f>IF('編年史'!A6="","",'編年史'!L6)</x:f>
        <x:v>參與夏至祭儀並向神祇獻祭。</x:v>
      </x:c>
      <x:c r="H6" s="47" t="str">
        <x:f>IF('編年史'!A6="","",'編年史'!N6)</x:f>
        <x:v>留下未解決的神諭。</x:v>
      </x:c>
    </x:row>
    <x:row r="7" ht="42" customHeight="1">
      <x:c r="A7" s="45" t="n">
        <x:f>IF('編年史'!A7="","",'編年史'!B7)</x:f>
        <x:v>1625</x:v>
      </x:c>
      <x:c r="B7" s="46" t="str">
        <x:f>IF('編年史'!A7="","",'編年史'!G7)</x:f>
        <x:v>1625 S.T. · 大地季 · 豐饒週 · 泥土日</x:v>
      </x:c>
      <x:c r="C7" s="47" t="str">
        <x:f>IF('編年史'!A7="","",'編年史'!H7)</x:f>
        <x:v>收穫宴會</x:v>
      </x:c>
      <x:c r="D7" s="47" t="str">
        <x:f>IF('編年史'!A7="","",'編年史'!I7)</x:f>
        <x:v>社交</x:v>
      </x:c>
      <x:c r="E7" s="47" t="str">
        <x:f>IF('編年史'!A7="","",'編年史'!J7)</x:f>
        <x:v>氏族大廳</x:v>
      </x:c>
      <x:c r="F7" s="47" t="str">
        <x:f>IF('編年史'!A7="","",'編年史'!K7)</x:f>
        <x:v>冒險者與族人</x:v>
      </x:c>
      <x:c r="G7" s="47" t="str">
        <x:f>IF('編年史'!A7="","",'編年史'!L7)</x:f>
        <x:v>氏族舉行年度收穫宴會。</x:v>
      </x:c>
      <x:c r="H7" s="47" t="str">
        <x:f>IF('編年史'!A7="","",'編年史'!N7)</x:f>
        <x:v>與鄰近氏族關係改善。</x:v>
      </x:c>
    </x:row>
    <x:row r="8" ht="42" customHeight="1">
      <x:c r="A8" s="45" t="str">
        <x:f>IF('編年史'!A8="","",'編年史'!B8)</x:f>
      </x:c>
      <x:c r="B8" s="46" t="str">
        <x:f>IF('編年史'!A8="","",'編年史'!G8)</x:f>
      </x:c>
      <x:c r="C8" s="47" t="str">
        <x:f>IF('編年史'!A8="","",'編年史'!H8)</x:f>
      </x:c>
      <x:c r="D8" s="47" t="str">
        <x:f>IF('編年史'!A8="","",'編年史'!I8)</x:f>
      </x:c>
      <x:c r="E8" s="47" t="str">
        <x:f>IF('編年史'!A8="","",'編年史'!J8)</x:f>
      </x:c>
      <x:c r="F8" s="47" t="str">
        <x:f>IF('編年史'!A8="","",'編年史'!K8)</x:f>
      </x:c>
      <x:c r="G8" s="47" t="str">
        <x:f>IF('編年史'!A8="","",'編年史'!L8)</x:f>
      </x:c>
      <x:c r="H8" s="47" t="str">
        <x:f>IF('編年史'!A8="","",'編年史'!N8)</x:f>
      </x:c>
    </x:row>
    <x:row r="9" ht="42" customHeight="1">
      <x:c r="A9" s="45" t="str">
        <x:f>IF('編年史'!A9="","",'編年史'!B9)</x:f>
      </x:c>
      <x:c r="B9" s="46" t="str">
        <x:f>IF('編年史'!A9="","",'編年史'!G9)</x:f>
      </x:c>
      <x:c r="C9" s="47" t="str">
        <x:f>IF('編年史'!A9="","",'編年史'!H9)</x:f>
      </x:c>
      <x:c r="D9" s="47" t="str">
        <x:f>IF('編年史'!A9="","",'編年史'!I9)</x:f>
      </x:c>
      <x:c r="E9" s="47" t="str">
        <x:f>IF('編年史'!A9="","",'編年史'!J9)</x:f>
      </x:c>
      <x:c r="F9" s="47" t="str">
        <x:f>IF('編年史'!A9="","",'編年史'!K9)</x:f>
      </x:c>
      <x:c r="G9" s="47" t="str">
        <x:f>IF('編年史'!A9="","",'編年史'!L9)</x:f>
      </x:c>
      <x:c r="H9" s="47" t="str">
        <x:f>IF('編年史'!A9="","",'編年史'!N9)</x:f>
      </x:c>
    </x:row>
    <x:row r="10" ht="42" customHeight="1">
      <x:c r="A10" s="45" t="str">
        <x:f>IF('編年史'!A10="","",'編年史'!B10)</x:f>
      </x:c>
      <x:c r="B10" s="46" t="str">
        <x:f>IF('編年史'!A10="","",'編年史'!G10)</x:f>
      </x:c>
      <x:c r="C10" s="47" t="str">
        <x:f>IF('編年史'!A10="","",'編年史'!H10)</x:f>
      </x:c>
      <x:c r="D10" s="47" t="str">
        <x:f>IF('編年史'!A10="","",'編年史'!I10)</x:f>
      </x:c>
      <x:c r="E10" s="47" t="str">
        <x:f>IF('編年史'!A10="","",'編年史'!J10)</x:f>
      </x:c>
      <x:c r="F10" s="47" t="str">
        <x:f>IF('編年史'!A10="","",'編年史'!K10)</x:f>
      </x:c>
      <x:c r="G10" s="47" t="str">
        <x:f>IF('編年史'!A10="","",'編年史'!L10)</x:f>
      </x:c>
      <x:c r="H10" s="47" t="str">
        <x:f>IF('編年史'!A10="","",'編年史'!N10)</x:f>
      </x:c>
    </x:row>
    <x:row r="11" ht="42" customHeight="1">
      <x:c r="A11" s="45" t="str">
        <x:f>IF('編年史'!A11="","",'編年史'!B11)</x:f>
      </x:c>
      <x:c r="B11" s="46" t="str">
        <x:f>IF('編年史'!A11="","",'編年史'!G11)</x:f>
      </x:c>
      <x:c r="C11" s="47" t="str">
        <x:f>IF('編年史'!A11="","",'編年史'!H11)</x:f>
      </x:c>
      <x:c r="D11" s="47" t="str">
        <x:f>IF('編年史'!A11="","",'編年史'!I11)</x:f>
      </x:c>
      <x:c r="E11" s="47" t="str">
        <x:f>IF('編年史'!A11="","",'編年史'!J11)</x:f>
      </x:c>
      <x:c r="F11" s="47" t="str">
        <x:f>IF('編年史'!A11="","",'編年史'!K11)</x:f>
      </x:c>
      <x:c r="G11" s="47" t="str">
        <x:f>IF('編年史'!A11="","",'編年史'!L11)</x:f>
      </x:c>
      <x:c r="H11" s="47" t="str">
        <x:f>IF('編年史'!A11="","",'編年史'!N11)</x:f>
      </x:c>
    </x:row>
    <x:row r="12" ht="42" customHeight="1">
      <x:c r="A12" s="45" t="str">
        <x:f>IF('編年史'!A12="","",'編年史'!B12)</x:f>
      </x:c>
      <x:c r="B12" s="46" t="str">
        <x:f>IF('編年史'!A12="","",'編年史'!G12)</x:f>
      </x:c>
      <x:c r="C12" s="47" t="str">
        <x:f>IF('編年史'!A12="","",'編年史'!H12)</x:f>
      </x:c>
      <x:c r="D12" s="47" t="str">
        <x:f>IF('編年史'!A12="","",'編年史'!I12)</x:f>
      </x:c>
      <x:c r="E12" s="47" t="str">
        <x:f>IF('編年史'!A12="","",'編年史'!J12)</x:f>
      </x:c>
      <x:c r="F12" s="47" t="str">
        <x:f>IF('編年史'!A12="","",'編年史'!K12)</x:f>
      </x:c>
      <x:c r="G12" s="47" t="str">
        <x:f>IF('編年史'!A12="","",'編年史'!L12)</x:f>
      </x:c>
      <x:c r="H12" s="47" t="str">
        <x:f>IF('編年史'!A12="","",'編年史'!N12)</x:f>
      </x:c>
    </x:row>
    <x:row r="13" ht="42" customHeight="1">
      <x:c r="A13" s="45" t="str">
        <x:f>IF('編年史'!A13="","",'編年史'!B13)</x:f>
      </x:c>
      <x:c r="B13" s="46" t="str">
        <x:f>IF('編年史'!A13="","",'編年史'!G13)</x:f>
      </x:c>
      <x:c r="C13" s="47" t="str">
        <x:f>IF('編年史'!A13="","",'編年史'!H13)</x:f>
      </x:c>
      <x:c r="D13" s="47" t="str">
        <x:f>IF('編年史'!A13="","",'編年史'!I13)</x:f>
      </x:c>
      <x:c r="E13" s="47" t="str">
        <x:f>IF('編年史'!A13="","",'編年史'!J13)</x:f>
      </x:c>
      <x:c r="F13" s="47" t="str">
        <x:f>IF('編年史'!A13="","",'編年史'!K13)</x:f>
      </x:c>
      <x:c r="G13" s="47" t="str">
        <x:f>IF('編年史'!A13="","",'編年史'!L13)</x:f>
      </x:c>
      <x:c r="H13" s="47" t="str">
        <x:f>IF('編年史'!A13="","",'編年史'!N13)</x:f>
      </x:c>
    </x:row>
    <x:row r="14" ht="42" customHeight="1">
      <x:c r="A14" s="45" t="str">
        <x:f>IF('編年史'!A14="","",'編年史'!B14)</x:f>
      </x:c>
      <x:c r="B14" s="46" t="str">
        <x:f>IF('編年史'!A14="","",'編年史'!G14)</x:f>
      </x:c>
      <x:c r="C14" s="47" t="str">
        <x:f>IF('編年史'!A14="","",'編年史'!H14)</x:f>
      </x:c>
      <x:c r="D14" s="47" t="str">
        <x:f>IF('編年史'!A14="","",'編年史'!I14)</x:f>
      </x:c>
      <x:c r="E14" s="47" t="str">
        <x:f>IF('編年史'!A14="","",'編年史'!J14)</x:f>
      </x:c>
      <x:c r="F14" s="47" t="str">
        <x:f>IF('編年史'!A14="","",'編年史'!K14)</x:f>
      </x:c>
      <x:c r="G14" s="47" t="str">
        <x:f>IF('編年史'!A14="","",'編年史'!L14)</x:f>
      </x:c>
      <x:c r="H14" s="47" t="str">
        <x:f>IF('編年史'!A14="","",'編年史'!N14)</x:f>
      </x:c>
    </x:row>
    <x:row r="15" ht="42" customHeight="1">
      <x:c r="A15" s="45" t="str">
        <x:f>IF('編年史'!A15="","",'編年史'!B15)</x:f>
      </x:c>
      <x:c r="B15" s="46" t="str">
        <x:f>IF('編年史'!A15="","",'編年史'!G15)</x:f>
      </x:c>
      <x:c r="C15" s="47" t="str">
        <x:f>IF('編年史'!A15="","",'編年史'!H15)</x:f>
      </x:c>
      <x:c r="D15" s="47" t="str">
        <x:f>IF('編年史'!A15="","",'編年史'!I15)</x:f>
      </x:c>
      <x:c r="E15" s="47" t="str">
        <x:f>IF('編年史'!A15="","",'編年史'!J15)</x:f>
      </x:c>
      <x:c r="F15" s="47" t="str">
        <x:f>IF('編年史'!A15="","",'編年史'!K15)</x:f>
      </x:c>
      <x:c r="G15" s="47" t="str">
        <x:f>IF('編年史'!A15="","",'編年史'!L15)</x:f>
      </x:c>
      <x:c r="H15" s="47" t="str">
        <x:f>IF('編年史'!A15="","",'編年史'!N15)</x:f>
      </x:c>
    </x:row>
    <x:row r="16" ht="42" customHeight="1">
      <x:c r="A16" s="45" t="str">
        <x:f>IF('編年史'!A16="","",'編年史'!B16)</x:f>
      </x:c>
      <x:c r="B16" s="46" t="str">
        <x:f>IF('編年史'!A16="","",'編年史'!G16)</x:f>
      </x:c>
      <x:c r="C16" s="47" t="str">
        <x:f>IF('編年史'!A16="","",'編年史'!H16)</x:f>
      </x:c>
      <x:c r="D16" s="47" t="str">
        <x:f>IF('編年史'!A16="","",'編年史'!I16)</x:f>
      </x:c>
      <x:c r="E16" s="47" t="str">
        <x:f>IF('編年史'!A16="","",'編年史'!J16)</x:f>
      </x:c>
      <x:c r="F16" s="47" t="str">
        <x:f>IF('編年史'!A16="","",'編年史'!K16)</x:f>
      </x:c>
      <x:c r="G16" s="47" t="str">
        <x:f>IF('編年史'!A16="","",'編年史'!L16)</x:f>
      </x:c>
      <x:c r="H16" s="47" t="str">
        <x:f>IF('編年史'!A16="","",'編年史'!N16)</x:f>
      </x:c>
    </x:row>
    <x:row r="17" ht="42" customHeight="1">
      <x:c r="A17" s="45" t="str">
        <x:f>IF('編年史'!A17="","",'編年史'!B17)</x:f>
      </x:c>
      <x:c r="B17" s="46" t="str">
        <x:f>IF('編年史'!A17="","",'編年史'!G17)</x:f>
      </x:c>
      <x:c r="C17" s="47" t="str">
        <x:f>IF('編年史'!A17="","",'編年史'!H17)</x:f>
      </x:c>
      <x:c r="D17" s="47" t="str">
        <x:f>IF('編年史'!A17="","",'編年史'!I17)</x:f>
      </x:c>
      <x:c r="E17" s="47" t="str">
        <x:f>IF('編年史'!A17="","",'編年史'!J17)</x:f>
      </x:c>
      <x:c r="F17" s="47" t="str">
        <x:f>IF('編年史'!A17="","",'編年史'!K17)</x:f>
      </x:c>
      <x:c r="G17" s="47" t="str">
        <x:f>IF('編年史'!A17="","",'編年史'!L17)</x:f>
      </x:c>
      <x:c r="H17" s="47" t="str">
        <x:f>IF('編年史'!A17="","",'編年史'!N17)</x:f>
      </x:c>
    </x:row>
    <x:row r="18" ht="42" customHeight="1">
      <x:c r="A18" s="45" t="str">
        <x:f>IF('編年史'!A18="","",'編年史'!B18)</x:f>
      </x:c>
      <x:c r="B18" s="46" t="str">
        <x:f>IF('編年史'!A18="","",'編年史'!G18)</x:f>
      </x:c>
      <x:c r="C18" s="47" t="str">
        <x:f>IF('編年史'!A18="","",'編年史'!H18)</x:f>
      </x:c>
      <x:c r="D18" s="47" t="str">
        <x:f>IF('編年史'!A18="","",'編年史'!I18)</x:f>
      </x:c>
      <x:c r="E18" s="47" t="str">
        <x:f>IF('編年史'!A18="","",'編年史'!J18)</x:f>
      </x:c>
      <x:c r="F18" s="47" t="str">
        <x:f>IF('編年史'!A18="","",'編年史'!K18)</x:f>
      </x:c>
      <x:c r="G18" s="47" t="str">
        <x:f>IF('編年史'!A18="","",'編年史'!L18)</x:f>
      </x:c>
      <x:c r="H18" s="47" t="str">
        <x:f>IF('編年史'!A18="","",'編年史'!N18)</x:f>
      </x:c>
    </x:row>
    <x:row r="19" ht="42" customHeight="1">
      <x:c r="A19" s="45" t="str">
        <x:f>IF('編年史'!A19="","",'編年史'!B19)</x:f>
      </x:c>
      <x:c r="B19" s="46" t="str">
        <x:f>IF('編年史'!A19="","",'編年史'!G19)</x:f>
      </x:c>
      <x:c r="C19" s="47" t="str">
        <x:f>IF('編年史'!A19="","",'編年史'!H19)</x:f>
      </x:c>
      <x:c r="D19" s="47" t="str">
        <x:f>IF('編年史'!A19="","",'編年史'!I19)</x:f>
      </x:c>
      <x:c r="E19" s="47" t="str">
        <x:f>IF('編年史'!A19="","",'編年史'!J19)</x:f>
      </x:c>
      <x:c r="F19" s="47" t="str">
        <x:f>IF('編年史'!A19="","",'編年史'!K19)</x:f>
      </x:c>
      <x:c r="G19" s="47" t="str">
        <x:f>IF('編年史'!A19="","",'編年史'!L19)</x:f>
      </x:c>
      <x:c r="H19" s="47" t="str">
        <x:f>IF('編年史'!A19="","",'編年史'!N19)</x:f>
      </x:c>
    </x:row>
    <x:row r="20" ht="42" customHeight="1">
      <x:c r="A20" s="45" t="str">
        <x:f>IF('編年史'!A20="","",'編年史'!B20)</x:f>
      </x:c>
      <x:c r="B20" s="46" t="str">
        <x:f>IF('編年史'!A20="","",'編年史'!G20)</x:f>
      </x:c>
      <x:c r="C20" s="47" t="str">
        <x:f>IF('編年史'!A20="","",'編年史'!H20)</x:f>
      </x:c>
      <x:c r="D20" s="47" t="str">
        <x:f>IF('編年史'!A20="","",'編年史'!I20)</x:f>
      </x:c>
      <x:c r="E20" s="47" t="str">
        <x:f>IF('編年史'!A20="","",'編年史'!J20)</x:f>
      </x:c>
      <x:c r="F20" s="47" t="str">
        <x:f>IF('編年史'!A20="","",'編年史'!K20)</x:f>
      </x:c>
      <x:c r="G20" s="47" t="str">
        <x:f>IF('編年史'!A20="","",'編年史'!L20)</x:f>
      </x:c>
      <x:c r="H20" s="47" t="str">
        <x:f>IF('編年史'!A20="","",'編年史'!N20)</x:f>
      </x:c>
    </x:row>
    <x:row r="21" ht="42" customHeight="1">
      <x:c r="A21" s="45" t="str">
        <x:f>IF('編年史'!A21="","",'編年史'!B21)</x:f>
      </x:c>
      <x:c r="B21" s="46" t="str">
        <x:f>IF('編年史'!A21="","",'編年史'!G21)</x:f>
      </x:c>
      <x:c r="C21" s="47" t="str">
        <x:f>IF('編年史'!A21="","",'編年史'!H21)</x:f>
      </x:c>
      <x:c r="D21" s="47" t="str">
        <x:f>IF('編年史'!A21="","",'編年史'!I21)</x:f>
      </x:c>
      <x:c r="E21" s="47" t="str">
        <x:f>IF('編年史'!A21="","",'編年史'!J21)</x:f>
      </x:c>
      <x:c r="F21" s="47" t="str">
        <x:f>IF('編年史'!A21="","",'編年史'!K21)</x:f>
      </x:c>
      <x:c r="G21" s="47" t="str">
        <x:f>IF('編年史'!A21="","",'編年史'!L21)</x:f>
      </x:c>
      <x:c r="H21" s="47" t="str">
        <x:f>IF('編年史'!A21="","",'編年史'!N21)</x:f>
      </x:c>
    </x:row>
    <x:row r="22" ht="42" customHeight="1">
      <x:c r="A22" s="45" t="str">
        <x:f>IF('編年史'!A22="","",'編年史'!B22)</x:f>
      </x:c>
      <x:c r="B22" s="46" t="str">
        <x:f>IF('編年史'!A22="","",'編年史'!G22)</x:f>
      </x:c>
      <x:c r="C22" s="47" t="str">
        <x:f>IF('編年史'!A22="","",'編年史'!H22)</x:f>
      </x:c>
      <x:c r="D22" s="47" t="str">
        <x:f>IF('編年史'!A22="","",'編年史'!I22)</x:f>
      </x:c>
      <x:c r="E22" s="47" t="str">
        <x:f>IF('編年史'!A22="","",'編年史'!J22)</x:f>
      </x:c>
      <x:c r="F22" s="47" t="str">
        <x:f>IF('編年史'!A22="","",'編年史'!K22)</x:f>
      </x:c>
      <x:c r="G22" s="47" t="str">
        <x:f>IF('編年史'!A22="","",'編年史'!L22)</x:f>
      </x:c>
      <x:c r="H22" s="47" t="str">
        <x:f>IF('編年史'!A22="","",'編年史'!N22)</x:f>
      </x:c>
    </x:row>
    <x:row r="23" ht="42" customHeight="1">
      <x:c r="A23" s="45" t="str">
        <x:f>IF('編年史'!A23="","",'編年史'!B23)</x:f>
      </x:c>
      <x:c r="B23" s="46" t="str">
        <x:f>IF('編年史'!A23="","",'編年史'!G23)</x:f>
      </x:c>
      <x:c r="C23" s="47" t="str">
        <x:f>IF('編年史'!A23="","",'編年史'!H23)</x:f>
      </x:c>
      <x:c r="D23" s="47" t="str">
        <x:f>IF('編年史'!A23="","",'編年史'!I23)</x:f>
      </x:c>
      <x:c r="E23" s="47" t="str">
        <x:f>IF('編年史'!A23="","",'編年史'!J23)</x:f>
      </x:c>
      <x:c r="F23" s="47" t="str">
        <x:f>IF('編年史'!A23="","",'編年史'!K23)</x:f>
      </x:c>
      <x:c r="G23" s="47" t="str">
        <x:f>IF('編年史'!A23="","",'編年史'!L23)</x:f>
      </x:c>
      <x:c r="H23" s="47" t="str">
        <x:f>IF('編年史'!A23="","",'編年史'!N23)</x:f>
      </x:c>
    </x:row>
    <x:row r="24" ht="42" customHeight="1">
      <x:c r="A24" s="45" t="str">
        <x:f>IF('編年史'!A24="","",'編年史'!B24)</x:f>
      </x:c>
      <x:c r="B24" s="46" t="str">
        <x:f>IF('編年史'!A24="","",'編年史'!G24)</x:f>
      </x:c>
      <x:c r="C24" s="47" t="str">
        <x:f>IF('編年史'!A24="","",'編年史'!H24)</x:f>
      </x:c>
      <x:c r="D24" s="47" t="str">
        <x:f>IF('編年史'!A24="","",'編年史'!I24)</x:f>
      </x:c>
      <x:c r="E24" s="47" t="str">
        <x:f>IF('編年史'!A24="","",'編年史'!J24)</x:f>
      </x:c>
      <x:c r="F24" s="47" t="str">
        <x:f>IF('編年史'!A24="","",'編年史'!K24)</x:f>
      </x:c>
      <x:c r="G24" s="47" t="str">
        <x:f>IF('編年史'!A24="","",'編年史'!L24)</x:f>
      </x:c>
      <x:c r="H24" s="47" t="str">
        <x:f>IF('編年史'!A24="","",'編年史'!N24)</x:f>
      </x:c>
    </x:row>
    <x:row r="25" ht="42" customHeight="1">
      <x:c r="A25" s="45" t="str">
        <x:f>IF('編年史'!A25="","",'編年史'!B25)</x:f>
      </x:c>
      <x:c r="B25" s="46" t="str">
        <x:f>IF('編年史'!A25="","",'編年史'!G25)</x:f>
      </x:c>
      <x:c r="C25" s="47" t="str">
        <x:f>IF('編年史'!A25="","",'編年史'!H25)</x:f>
      </x:c>
      <x:c r="D25" s="47" t="str">
        <x:f>IF('編年史'!A25="","",'編年史'!I25)</x:f>
      </x:c>
      <x:c r="E25" s="47" t="str">
        <x:f>IF('編年史'!A25="","",'編年史'!J25)</x:f>
      </x:c>
      <x:c r="F25" s="47" t="str">
        <x:f>IF('編年史'!A25="","",'編年史'!K25)</x:f>
      </x:c>
      <x:c r="G25" s="47" t="str">
        <x:f>IF('編年史'!A25="","",'編年史'!L25)</x:f>
      </x:c>
      <x:c r="H25" s="47" t="str">
        <x:f>IF('編年史'!A25="","",'編年史'!N25)</x:f>
      </x:c>
    </x:row>
    <x:row r="26" ht="42" customHeight="1">
      <x:c r="A26" s="45" t="str">
        <x:f>IF('編年史'!A26="","",'編年史'!B26)</x:f>
      </x:c>
      <x:c r="B26" s="46" t="str">
        <x:f>IF('編年史'!A26="","",'編年史'!G26)</x:f>
      </x:c>
      <x:c r="C26" s="47" t="str">
        <x:f>IF('編年史'!A26="","",'編年史'!H26)</x:f>
      </x:c>
      <x:c r="D26" s="47" t="str">
        <x:f>IF('編年史'!A26="","",'編年史'!I26)</x:f>
      </x:c>
      <x:c r="E26" s="47" t="str">
        <x:f>IF('編年史'!A26="","",'編年史'!J26)</x:f>
      </x:c>
      <x:c r="F26" s="47" t="str">
        <x:f>IF('編年史'!A26="","",'編年史'!K26)</x:f>
      </x:c>
      <x:c r="G26" s="47" t="str">
        <x:f>IF('編年史'!A26="","",'編年史'!L26)</x:f>
      </x:c>
      <x:c r="H26" s="47" t="str">
        <x:f>IF('編年史'!A26="","",'編年史'!N26)</x:f>
      </x:c>
    </x:row>
    <x:row r="27" ht="42" customHeight="1">
      <x:c r="A27" s="45" t="str">
        <x:f>IF('編年史'!A27="","",'編年史'!B27)</x:f>
      </x:c>
      <x:c r="B27" s="46" t="str">
        <x:f>IF('編年史'!A27="","",'編年史'!G27)</x:f>
      </x:c>
      <x:c r="C27" s="47" t="str">
        <x:f>IF('編年史'!A27="","",'編年史'!H27)</x:f>
      </x:c>
      <x:c r="D27" s="47" t="str">
        <x:f>IF('編年史'!A27="","",'編年史'!I27)</x:f>
      </x:c>
      <x:c r="E27" s="47" t="str">
        <x:f>IF('編年史'!A27="","",'編年史'!J27)</x:f>
      </x:c>
      <x:c r="F27" s="47" t="str">
        <x:f>IF('編年史'!A27="","",'編年史'!K27)</x:f>
      </x:c>
      <x:c r="G27" s="47" t="str">
        <x:f>IF('編年史'!A27="","",'編年史'!L27)</x:f>
      </x:c>
      <x:c r="H27" s="47" t="str">
        <x:f>IF('編年史'!A27="","",'編年史'!N27)</x:f>
      </x:c>
    </x:row>
    <x:row r="28" ht="42" customHeight="1">
      <x:c r="A28" s="45" t="str">
        <x:f>IF('編年史'!A28="","",'編年史'!B28)</x:f>
      </x:c>
      <x:c r="B28" s="46" t="str">
        <x:f>IF('編年史'!A28="","",'編年史'!G28)</x:f>
      </x:c>
      <x:c r="C28" s="47" t="str">
        <x:f>IF('編年史'!A28="","",'編年史'!H28)</x:f>
      </x:c>
      <x:c r="D28" s="47" t="str">
        <x:f>IF('編年史'!A28="","",'編年史'!I28)</x:f>
      </x:c>
      <x:c r="E28" s="47" t="str">
        <x:f>IF('編年史'!A28="","",'編年史'!J28)</x:f>
      </x:c>
      <x:c r="F28" s="47" t="str">
        <x:f>IF('編年史'!A28="","",'編年史'!K28)</x:f>
      </x:c>
      <x:c r="G28" s="47" t="str">
        <x:f>IF('編年史'!A28="","",'編年史'!L28)</x:f>
      </x:c>
      <x:c r="H28" s="47" t="str">
        <x:f>IF('編年史'!A28="","",'編年史'!N28)</x:f>
      </x:c>
    </x:row>
    <x:row r="29" ht="42" customHeight="1">
      <x:c r="A29" s="45" t="str">
        <x:f>IF('編年史'!A29="","",'編年史'!B29)</x:f>
      </x:c>
      <x:c r="B29" s="46" t="str">
        <x:f>IF('編年史'!A29="","",'編年史'!G29)</x:f>
      </x:c>
      <x:c r="C29" s="47" t="str">
        <x:f>IF('編年史'!A29="","",'編年史'!H29)</x:f>
      </x:c>
      <x:c r="D29" s="47" t="str">
        <x:f>IF('編年史'!A29="","",'編年史'!I29)</x:f>
      </x:c>
      <x:c r="E29" s="47" t="str">
        <x:f>IF('編年史'!A29="","",'編年史'!J29)</x:f>
      </x:c>
      <x:c r="F29" s="47" t="str">
        <x:f>IF('編年史'!A29="","",'編年史'!K29)</x:f>
      </x:c>
      <x:c r="G29" s="47" t="str">
        <x:f>IF('編年史'!A29="","",'編年史'!L29)</x:f>
      </x:c>
      <x:c r="H29" s="47" t="str">
        <x:f>IF('編年史'!A29="","",'編年史'!N29)</x:f>
      </x:c>
    </x:row>
    <x:row r="30" ht="42" customHeight="1">
      <x:c r="A30" s="45" t="str">
        <x:f>IF('編年史'!A30="","",'編年史'!B30)</x:f>
      </x:c>
      <x:c r="B30" s="46" t="str">
        <x:f>IF('編年史'!A30="","",'編年史'!G30)</x:f>
      </x:c>
      <x:c r="C30" s="47" t="str">
        <x:f>IF('編年史'!A30="","",'編年史'!H30)</x:f>
      </x:c>
      <x:c r="D30" s="47" t="str">
        <x:f>IF('編年史'!A30="","",'編年史'!I30)</x:f>
      </x:c>
      <x:c r="E30" s="47" t="str">
        <x:f>IF('編年史'!A30="","",'編年史'!J30)</x:f>
      </x:c>
      <x:c r="F30" s="47" t="str">
        <x:f>IF('編年史'!A30="","",'編年史'!K30)</x:f>
      </x:c>
      <x:c r="G30" s="47" t="str">
        <x:f>IF('編年史'!A30="","",'編年史'!L30)</x:f>
      </x:c>
      <x:c r="H30" s="47" t="str">
        <x:f>IF('編年史'!A30="","",'編年史'!N30)</x:f>
      </x:c>
    </x:row>
    <x:row r="31" ht="42" customHeight="1">
      <x:c r="A31" s="45" t="str">
        <x:f>IF('編年史'!A31="","",'編年史'!B31)</x:f>
      </x:c>
      <x:c r="B31" s="46" t="str">
        <x:f>IF('編年史'!A31="","",'編年史'!G31)</x:f>
      </x:c>
      <x:c r="C31" s="47" t="str">
        <x:f>IF('編年史'!A31="","",'編年史'!H31)</x:f>
      </x:c>
      <x:c r="D31" s="47" t="str">
        <x:f>IF('編年史'!A31="","",'編年史'!I31)</x:f>
      </x:c>
      <x:c r="E31" s="47" t="str">
        <x:f>IF('編年史'!A31="","",'編年史'!J31)</x:f>
      </x:c>
      <x:c r="F31" s="47" t="str">
        <x:f>IF('編年史'!A31="","",'編年史'!K31)</x:f>
      </x:c>
      <x:c r="G31" s="47" t="str">
        <x:f>IF('編年史'!A31="","",'編年史'!L31)</x:f>
      </x:c>
      <x:c r="H31" s="47" t="str">
        <x:f>IF('編年史'!A31="","",'編年史'!N31)</x:f>
      </x:c>
    </x:row>
    <x:row r="32" ht="42" customHeight="1">
      <x:c r="A32" s="45" t="str">
        <x:f>IF('編年史'!A32="","",'編年史'!B32)</x:f>
      </x:c>
      <x:c r="B32" s="46" t="str">
        <x:f>IF('編年史'!A32="","",'編年史'!G32)</x:f>
      </x:c>
      <x:c r="C32" s="47" t="str">
        <x:f>IF('編年史'!A32="","",'編年史'!H32)</x:f>
      </x:c>
      <x:c r="D32" s="47" t="str">
        <x:f>IF('編年史'!A32="","",'編年史'!I32)</x:f>
      </x:c>
      <x:c r="E32" s="47" t="str">
        <x:f>IF('編年史'!A32="","",'編年史'!J32)</x:f>
      </x:c>
      <x:c r="F32" s="47" t="str">
        <x:f>IF('編年史'!A32="","",'編年史'!K32)</x:f>
      </x:c>
      <x:c r="G32" s="47" t="str">
        <x:f>IF('編年史'!A32="","",'編年史'!L32)</x:f>
      </x:c>
      <x:c r="H32" s="47" t="str">
        <x:f>IF('編年史'!A32="","",'編年史'!N32)</x:f>
      </x:c>
    </x:row>
    <x:row r="33" ht="42" customHeight="1">
      <x:c r="A33" s="45" t="str">
        <x:f>IF('編年史'!A33="","",'編年史'!B33)</x:f>
      </x:c>
      <x:c r="B33" s="46" t="str">
        <x:f>IF('編年史'!A33="","",'編年史'!G33)</x:f>
      </x:c>
      <x:c r="C33" s="47" t="str">
        <x:f>IF('編年史'!A33="","",'編年史'!H33)</x:f>
      </x:c>
      <x:c r="D33" s="47" t="str">
        <x:f>IF('編年史'!A33="","",'編年史'!I33)</x:f>
      </x:c>
      <x:c r="E33" s="47" t="str">
        <x:f>IF('編年史'!A33="","",'編年史'!J33)</x:f>
      </x:c>
      <x:c r="F33" s="47" t="str">
        <x:f>IF('編年史'!A33="","",'編年史'!K33)</x:f>
      </x:c>
      <x:c r="G33" s="47" t="str">
        <x:f>IF('編年史'!A33="","",'編年史'!L33)</x:f>
      </x:c>
      <x:c r="H33" s="47" t="str">
        <x:f>IF('編年史'!A33="","",'編年史'!N33)</x:f>
      </x:c>
    </x:row>
    <x:row r="34" ht="42" customHeight="1">
      <x:c r="A34" s="45" t="str">
        <x:f>IF('編年史'!A34="","",'編年史'!B34)</x:f>
      </x:c>
      <x:c r="B34" s="46" t="str">
        <x:f>IF('編年史'!A34="","",'編年史'!G34)</x:f>
      </x:c>
      <x:c r="C34" s="47" t="str">
        <x:f>IF('編年史'!A34="","",'編年史'!H34)</x:f>
      </x:c>
      <x:c r="D34" s="47" t="str">
        <x:f>IF('編年史'!A34="","",'編年史'!I34)</x:f>
      </x:c>
      <x:c r="E34" s="47" t="str">
        <x:f>IF('編年史'!A34="","",'編年史'!J34)</x:f>
      </x:c>
      <x:c r="F34" s="47" t="str">
        <x:f>IF('編年史'!A34="","",'編年史'!K34)</x:f>
      </x:c>
      <x:c r="G34" s="47" t="str">
        <x:f>IF('編年史'!A34="","",'編年史'!L34)</x:f>
      </x:c>
      <x:c r="H34" s="47" t="str">
        <x:f>IF('編年史'!A34="","",'編年史'!N34)</x:f>
      </x:c>
    </x:row>
    <x:row r="35" ht="42" customHeight="1">
      <x:c r="A35" s="45" t="str">
        <x:f>IF('編年史'!A35="","",'編年史'!B35)</x:f>
      </x:c>
      <x:c r="B35" s="46" t="str">
        <x:f>IF('編年史'!A35="","",'編年史'!G35)</x:f>
      </x:c>
      <x:c r="C35" s="47" t="str">
        <x:f>IF('編年史'!A35="","",'編年史'!H35)</x:f>
      </x:c>
      <x:c r="D35" s="47" t="str">
        <x:f>IF('編年史'!A35="","",'編年史'!I35)</x:f>
      </x:c>
      <x:c r="E35" s="47" t="str">
        <x:f>IF('編年史'!A35="","",'編年史'!J35)</x:f>
      </x:c>
      <x:c r="F35" s="47" t="str">
        <x:f>IF('編年史'!A35="","",'編年史'!K35)</x:f>
      </x:c>
      <x:c r="G35" s="47" t="str">
        <x:f>IF('編年史'!A35="","",'編年史'!L35)</x:f>
      </x:c>
      <x:c r="H35" s="47" t="str">
        <x:f>IF('編年史'!A35="","",'編年史'!N35)</x:f>
      </x:c>
    </x:row>
    <x:row r="36" ht="42" customHeight="1">
      <x:c r="A36" s="45" t="str">
        <x:f>IF('編年史'!A36="","",'編年史'!B36)</x:f>
      </x:c>
      <x:c r="B36" s="46" t="str">
        <x:f>IF('編年史'!A36="","",'編年史'!G36)</x:f>
      </x:c>
      <x:c r="C36" s="47" t="str">
        <x:f>IF('編年史'!A36="","",'編年史'!H36)</x:f>
      </x:c>
      <x:c r="D36" s="47" t="str">
        <x:f>IF('編年史'!A36="","",'編年史'!I36)</x:f>
      </x:c>
      <x:c r="E36" s="47" t="str">
        <x:f>IF('編年史'!A36="","",'編年史'!J36)</x:f>
      </x:c>
      <x:c r="F36" s="47" t="str">
        <x:f>IF('編年史'!A36="","",'編年史'!K36)</x:f>
      </x:c>
      <x:c r="G36" s="47" t="str">
        <x:f>IF('編年史'!A36="","",'編年史'!L36)</x:f>
      </x:c>
      <x:c r="H36" s="47" t="str">
        <x:f>IF('編年史'!A36="","",'編年史'!N36)</x:f>
      </x:c>
    </x:row>
    <x:row r="37" ht="42" customHeight="1">
      <x:c r="A37" s="45" t="str">
        <x:f>IF('編年史'!A37="","",'編年史'!B37)</x:f>
      </x:c>
      <x:c r="B37" s="46" t="str">
        <x:f>IF('編年史'!A37="","",'編年史'!G37)</x:f>
      </x:c>
      <x:c r="C37" s="47" t="str">
        <x:f>IF('編年史'!A37="","",'編年史'!H37)</x:f>
      </x:c>
      <x:c r="D37" s="47" t="str">
        <x:f>IF('編年史'!A37="","",'編年史'!I37)</x:f>
      </x:c>
      <x:c r="E37" s="47" t="str">
        <x:f>IF('編年史'!A37="","",'編年史'!J37)</x:f>
      </x:c>
      <x:c r="F37" s="47" t="str">
        <x:f>IF('編年史'!A37="","",'編年史'!K37)</x:f>
      </x:c>
      <x:c r="G37" s="47" t="str">
        <x:f>IF('編年史'!A37="","",'編年史'!L37)</x:f>
      </x:c>
      <x:c r="H37" s="47" t="str">
        <x:f>IF('編年史'!A37="","",'編年史'!N37)</x:f>
      </x:c>
    </x:row>
    <x:row r="38" ht="42" customHeight="1">
      <x:c r="A38" s="45" t="str">
        <x:f>IF('編年史'!A38="","",'編年史'!B38)</x:f>
      </x:c>
      <x:c r="B38" s="46" t="str">
        <x:f>IF('編年史'!A38="","",'編年史'!G38)</x:f>
      </x:c>
      <x:c r="C38" s="47" t="str">
        <x:f>IF('編年史'!A38="","",'編年史'!H38)</x:f>
      </x:c>
      <x:c r="D38" s="47" t="str">
        <x:f>IF('編年史'!A38="","",'編年史'!I38)</x:f>
      </x:c>
      <x:c r="E38" s="47" t="str">
        <x:f>IF('編年史'!A38="","",'編年史'!J38)</x:f>
      </x:c>
      <x:c r="F38" s="47" t="str">
        <x:f>IF('編年史'!A38="","",'編年史'!K38)</x:f>
      </x:c>
      <x:c r="G38" s="47" t="str">
        <x:f>IF('編年史'!A38="","",'編年史'!L38)</x:f>
      </x:c>
      <x:c r="H38" s="47" t="str">
        <x:f>IF('編年史'!A38="","",'編年史'!N38)</x:f>
      </x:c>
    </x:row>
    <x:row r="39" ht="42" customHeight="1">
      <x:c r="A39" s="45" t="str">
        <x:f>IF('編年史'!A39="","",'編年史'!B39)</x:f>
      </x:c>
      <x:c r="B39" s="46" t="str">
        <x:f>IF('編年史'!A39="","",'編年史'!G39)</x:f>
      </x:c>
      <x:c r="C39" s="47" t="str">
        <x:f>IF('編年史'!A39="","",'編年史'!H39)</x:f>
      </x:c>
      <x:c r="D39" s="47" t="str">
        <x:f>IF('編年史'!A39="","",'編年史'!I39)</x:f>
      </x:c>
      <x:c r="E39" s="47" t="str">
        <x:f>IF('編年史'!A39="","",'編年史'!J39)</x:f>
      </x:c>
      <x:c r="F39" s="47" t="str">
        <x:f>IF('編年史'!A39="","",'編年史'!K39)</x:f>
      </x:c>
      <x:c r="G39" s="47" t="str">
        <x:f>IF('編年史'!A39="","",'編年史'!L39)</x:f>
      </x:c>
      <x:c r="H39" s="47" t="str">
        <x:f>IF('編年史'!A39="","",'編年史'!N39)</x:f>
      </x:c>
    </x:row>
    <x:row r="40" ht="42" customHeight="1">
      <x:c r="A40" s="45" t="str">
        <x:f>IF('編年史'!A40="","",'編年史'!B40)</x:f>
      </x:c>
      <x:c r="B40" s="46" t="str">
        <x:f>IF('編年史'!A40="","",'編年史'!G40)</x:f>
      </x:c>
      <x:c r="C40" s="47" t="str">
        <x:f>IF('編年史'!A40="","",'編年史'!H40)</x:f>
      </x:c>
      <x:c r="D40" s="47" t="str">
        <x:f>IF('編年史'!A40="","",'編年史'!I40)</x:f>
      </x:c>
      <x:c r="E40" s="47" t="str">
        <x:f>IF('編年史'!A40="","",'編年史'!J40)</x:f>
      </x:c>
      <x:c r="F40" s="47" t="str">
        <x:f>IF('編年史'!A40="","",'編年史'!K40)</x:f>
      </x:c>
      <x:c r="G40" s="47" t="str">
        <x:f>IF('編年史'!A40="","",'編年史'!L40)</x:f>
      </x:c>
      <x:c r="H40" s="47" t="str">
        <x:f>IF('編年史'!A40="","",'編年史'!N40)</x:f>
      </x:c>
    </x:row>
    <x:row r="41" ht="42" customHeight="1">
      <x:c r="A41" s="45" t="str">
        <x:f>IF('編年史'!A41="","",'編年史'!B41)</x:f>
      </x:c>
      <x:c r="B41" s="46" t="str">
        <x:f>IF('編年史'!A41="","",'編年史'!G41)</x:f>
      </x:c>
      <x:c r="C41" s="47" t="str">
        <x:f>IF('編年史'!A41="","",'編年史'!H41)</x:f>
      </x:c>
      <x:c r="D41" s="47" t="str">
        <x:f>IF('編年史'!A41="","",'編年史'!I41)</x:f>
      </x:c>
      <x:c r="E41" s="47" t="str">
        <x:f>IF('編年史'!A41="","",'編年史'!J41)</x:f>
      </x:c>
      <x:c r="F41" s="47" t="str">
        <x:f>IF('編年史'!A41="","",'編年史'!K41)</x:f>
      </x:c>
      <x:c r="G41" s="47" t="str">
        <x:f>IF('編年史'!A41="","",'編年史'!L41)</x:f>
      </x:c>
      <x:c r="H41" s="47" t="str">
        <x:f>IF('編年史'!A41="","",'編年史'!N41)</x:f>
      </x:c>
    </x:row>
    <x:row r="42" ht="42" customHeight="1">
      <x:c r="A42" s="45" t="str">
        <x:f>IF('編年史'!A42="","",'編年史'!B42)</x:f>
      </x:c>
      <x:c r="B42" s="46" t="str">
        <x:f>IF('編年史'!A42="","",'編年史'!G42)</x:f>
      </x:c>
      <x:c r="C42" s="47" t="str">
        <x:f>IF('編年史'!A42="","",'編年史'!H42)</x:f>
      </x:c>
      <x:c r="D42" s="47" t="str">
        <x:f>IF('編年史'!A42="","",'編年史'!I42)</x:f>
      </x:c>
      <x:c r="E42" s="47" t="str">
        <x:f>IF('編年史'!A42="","",'編年史'!J42)</x:f>
      </x:c>
      <x:c r="F42" s="47" t="str">
        <x:f>IF('編年史'!A42="","",'編年史'!K42)</x:f>
      </x:c>
      <x:c r="G42" s="47" t="str">
        <x:f>IF('編年史'!A42="","",'編年史'!L42)</x:f>
      </x:c>
      <x:c r="H42" s="47" t="str">
        <x:f>IF('編年史'!A42="","",'編年史'!N42)</x:f>
      </x:c>
    </x:row>
    <x:row r="43" ht="42" customHeight="1">
      <x:c r="A43" s="45" t="str">
        <x:f>IF('編年史'!A43="","",'編年史'!B43)</x:f>
      </x:c>
      <x:c r="B43" s="46" t="str">
        <x:f>IF('編年史'!A43="","",'編年史'!G43)</x:f>
      </x:c>
      <x:c r="C43" s="47" t="str">
        <x:f>IF('編年史'!A43="","",'編年史'!H43)</x:f>
      </x:c>
      <x:c r="D43" s="47" t="str">
        <x:f>IF('編年史'!A43="","",'編年史'!I43)</x:f>
      </x:c>
      <x:c r="E43" s="47" t="str">
        <x:f>IF('編年史'!A43="","",'編年史'!J43)</x:f>
      </x:c>
      <x:c r="F43" s="47" t="str">
        <x:f>IF('編年史'!A43="","",'編年史'!K43)</x:f>
      </x:c>
      <x:c r="G43" s="47" t="str">
        <x:f>IF('編年史'!A43="","",'編年史'!L43)</x:f>
      </x:c>
      <x:c r="H43" s="47" t="str">
        <x:f>IF('編年史'!A43="","",'編年史'!N43)</x:f>
      </x:c>
    </x:row>
    <x:row r="44" ht="42" customHeight="1">
      <x:c r="A44" s="45" t="str">
        <x:f>IF('編年史'!A44="","",'編年史'!B44)</x:f>
      </x:c>
      <x:c r="B44" s="46" t="str">
        <x:f>IF('編年史'!A44="","",'編年史'!G44)</x:f>
      </x:c>
      <x:c r="C44" s="47" t="str">
        <x:f>IF('編年史'!A44="","",'編年史'!H44)</x:f>
      </x:c>
      <x:c r="D44" s="47" t="str">
        <x:f>IF('編年史'!A44="","",'編年史'!I44)</x:f>
      </x:c>
      <x:c r="E44" s="47" t="str">
        <x:f>IF('編年史'!A44="","",'編年史'!J44)</x:f>
      </x:c>
      <x:c r="F44" s="47" t="str">
        <x:f>IF('編年史'!A44="","",'編年史'!K44)</x:f>
      </x:c>
      <x:c r="G44" s="47" t="str">
        <x:f>IF('編年史'!A44="","",'編年史'!L44)</x:f>
      </x:c>
      <x:c r="H44" s="47" t="str">
        <x:f>IF('編年史'!A44="","",'編年史'!N44)</x:f>
      </x:c>
    </x:row>
    <x:row r="45" ht="42" customHeight="1">
      <x:c r="A45" s="45" t="str">
        <x:f>IF('編年史'!A45="","",'編年史'!B45)</x:f>
      </x:c>
      <x:c r="B45" s="46" t="str">
        <x:f>IF('編年史'!A45="","",'編年史'!G45)</x:f>
      </x:c>
      <x:c r="C45" s="47" t="str">
        <x:f>IF('編年史'!A45="","",'編年史'!H45)</x:f>
      </x:c>
      <x:c r="D45" s="47" t="str">
        <x:f>IF('編年史'!A45="","",'編年史'!I45)</x:f>
      </x:c>
      <x:c r="E45" s="47" t="str">
        <x:f>IF('編年史'!A45="","",'編年史'!J45)</x:f>
      </x:c>
      <x:c r="F45" s="47" t="str">
        <x:f>IF('編年史'!A45="","",'編年史'!K45)</x:f>
      </x:c>
      <x:c r="G45" s="47" t="str">
        <x:f>IF('編年史'!A45="","",'編年史'!L45)</x:f>
      </x:c>
      <x:c r="H45" s="47" t="str">
        <x:f>IF('編年史'!A45="","",'編年史'!N45)</x:f>
      </x:c>
    </x:row>
    <x:row r="46" ht="42" customHeight="1">
      <x:c r="A46" s="45" t="str">
        <x:f>IF('編年史'!A46="","",'編年史'!B46)</x:f>
      </x:c>
      <x:c r="B46" s="46" t="str">
        <x:f>IF('編年史'!A46="","",'編年史'!G46)</x:f>
      </x:c>
      <x:c r="C46" s="47" t="str">
        <x:f>IF('編年史'!A46="","",'編年史'!H46)</x:f>
      </x:c>
      <x:c r="D46" s="47" t="str">
        <x:f>IF('編年史'!A46="","",'編年史'!I46)</x:f>
      </x:c>
      <x:c r="E46" s="47" t="str">
        <x:f>IF('編年史'!A46="","",'編年史'!J46)</x:f>
      </x:c>
      <x:c r="F46" s="47" t="str">
        <x:f>IF('編年史'!A46="","",'編年史'!K46)</x:f>
      </x:c>
      <x:c r="G46" s="47" t="str">
        <x:f>IF('編年史'!A46="","",'編年史'!L46)</x:f>
      </x:c>
      <x:c r="H46" s="47" t="str">
        <x:f>IF('編年史'!A46="","",'編年史'!N46)</x:f>
      </x:c>
    </x:row>
    <x:row r="47" ht="42" customHeight="1">
      <x:c r="A47" s="45" t="str">
        <x:f>IF('編年史'!A47="","",'編年史'!B47)</x:f>
      </x:c>
      <x:c r="B47" s="46" t="str">
        <x:f>IF('編年史'!A47="","",'編年史'!G47)</x:f>
      </x:c>
      <x:c r="C47" s="47" t="str">
        <x:f>IF('編年史'!A47="","",'編年史'!H47)</x:f>
      </x:c>
      <x:c r="D47" s="47" t="str">
        <x:f>IF('編年史'!A47="","",'編年史'!I47)</x:f>
      </x:c>
      <x:c r="E47" s="47" t="str">
        <x:f>IF('編年史'!A47="","",'編年史'!J47)</x:f>
      </x:c>
      <x:c r="F47" s="47" t="str">
        <x:f>IF('編年史'!A47="","",'編年史'!K47)</x:f>
      </x:c>
      <x:c r="G47" s="47" t="str">
        <x:f>IF('編年史'!A47="","",'編年史'!L47)</x:f>
      </x:c>
      <x:c r="H47" s="47" t="str">
        <x:f>IF('編年史'!A47="","",'編年史'!N47)</x:f>
      </x:c>
    </x:row>
    <x:row r="48" ht="42" customHeight="1">
      <x:c r="A48" s="45" t="str">
        <x:f>IF('編年史'!A48="","",'編年史'!B48)</x:f>
      </x:c>
      <x:c r="B48" s="46" t="str">
        <x:f>IF('編年史'!A48="","",'編年史'!G48)</x:f>
      </x:c>
      <x:c r="C48" s="47" t="str">
        <x:f>IF('編年史'!A48="","",'編年史'!H48)</x:f>
      </x:c>
      <x:c r="D48" s="47" t="str">
        <x:f>IF('編年史'!A48="","",'編年史'!I48)</x:f>
      </x:c>
      <x:c r="E48" s="47" t="str">
        <x:f>IF('編年史'!A48="","",'編年史'!J48)</x:f>
      </x:c>
      <x:c r="F48" s="47" t="str">
        <x:f>IF('編年史'!A48="","",'編年史'!K48)</x:f>
      </x:c>
      <x:c r="G48" s="47" t="str">
        <x:f>IF('編年史'!A48="","",'編年史'!L48)</x:f>
      </x:c>
      <x:c r="H48" s="47" t="str">
        <x:f>IF('編年史'!A48="","",'編年史'!N48)</x:f>
      </x:c>
    </x:row>
    <x:row r="49" ht="42" customHeight="1">
      <x:c r="A49" s="45" t="str">
        <x:f>IF('編年史'!A49="","",'編年史'!B49)</x:f>
      </x:c>
      <x:c r="B49" s="46" t="str">
        <x:f>IF('編年史'!A49="","",'編年史'!G49)</x:f>
      </x:c>
      <x:c r="C49" s="47" t="str">
        <x:f>IF('編年史'!A49="","",'編年史'!H49)</x:f>
      </x:c>
      <x:c r="D49" s="47" t="str">
        <x:f>IF('編年史'!A49="","",'編年史'!I49)</x:f>
      </x:c>
      <x:c r="E49" s="47" t="str">
        <x:f>IF('編年史'!A49="","",'編年史'!J49)</x:f>
      </x:c>
      <x:c r="F49" s="47" t="str">
        <x:f>IF('編年史'!A49="","",'編年史'!K49)</x:f>
      </x:c>
      <x:c r="G49" s="47" t="str">
        <x:f>IF('編年史'!A49="","",'編年史'!L49)</x:f>
      </x:c>
      <x:c r="H49" s="47" t="str">
        <x:f>IF('編年史'!A49="","",'編年史'!N49)</x:f>
      </x:c>
    </x:row>
    <x:row r="50" ht="42" customHeight="1">
      <x:c r="A50" s="45" t="str">
        <x:f>IF('編年史'!A50="","",'編年史'!B50)</x:f>
      </x:c>
      <x:c r="B50" s="46" t="str">
        <x:f>IF('編年史'!A50="","",'編年史'!G50)</x:f>
      </x:c>
      <x:c r="C50" s="47" t="str">
        <x:f>IF('編年史'!A50="","",'編年史'!H50)</x:f>
      </x:c>
      <x:c r="D50" s="47" t="str">
        <x:f>IF('編年史'!A50="","",'編年史'!I50)</x:f>
      </x:c>
      <x:c r="E50" s="47" t="str">
        <x:f>IF('編年史'!A50="","",'編年史'!J50)</x:f>
      </x:c>
      <x:c r="F50" s="47" t="str">
        <x:f>IF('編年史'!A50="","",'編年史'!K50)</x:f>
      </x:c>
      <x:c r="G50" s="47" t="str">
        <x:f>IF('編年史'!A50="","",'編年史'!L50)</x:f>
      </x:c>
      <x:c r="H50" s="47" t="str">
        <x:f>IF('編年史'!A50="","",'編年史'!N50)</x:f>
      </x:c>
    </x:row>
    <x:row r="51" ht="42" customHeight="1">
      <x:c r="A51" s="45" t="str">
        <x:f>IF('編年史'!A51="","",'編年史'!B51)</x:f>
      </x:c>
      <x:c r="B51" s="46" t="str">
        <x:f>IF('編年史'!A51="","",'編年史'!G51)</x:f>
      </x:c>
      <x:c r="C51" s="47" t="str">
        <x:f>IF('編年史'!A51="","",'編年史'!H51)</x:f>
      </x:c>
      <x:c r="D51" s="47" t="str">
        <x:f>IF('編年史'!A51="","",'編年史'!I51)</x:f>
      </x:c>
      <x:c r="E51" s="47" t="str">
        <x:f>IF('編年史'!A51="","",'編年史'!J51)</x:f>
      </x:c>
      <x:c r="F51" s="47" t="str">
        <x:f>IF('編年史'!A51="","",'編年史'!K51)</x:f>
      </x:c>
      <x:c r="G51" s="47" t="str">
        <x:f>IF('編年史'!A51="","",'編年史'!L51)</x:f>
      </x:c>
      <x:c r="H51" s="47" t="str">
        <x:f>IF('編年史'!A51="","",'編年史'!N51)</x:f>
      </x:c>
    </x:row>
    <x:row r="52" ht="42" customHeight="1">
      <x:c r="A52" s="45" t="str">
        <x:f>IF('編年史'!A52="","",'編年史'!B52)</x:f>
      </x:c>
      <x:c r="B52" s="46" t="str">
        <x:f>IF('編年史'!A52="","",'編年史'!G52)</x:f>
      </x:c>
      <x:c r="C52" s="47" t="str">
        <x:f>IF('編年史'!A52="","",'編年史'!H52)</x:f>
      </x:c>
      <x:c r="D52" s="47" t="str">
        <x:f>IF('編年史'!A52="","",'編年史'!I52)</x:f>
      </x:c>
      <x:c r="E52" s="47" t="str">
        <x:f>IF('編年史'!A52="","",'編年史'!J52)</x:f>
      </x:c>
      <x:c r="F52" s="47" t="str">
        <x:f>IF('編年史'!A52="","",'編年史'!K52)</x:f>
      </x:c>
      <x:c r="G52" s="47" t="str">
        <x:f>IF('編年史'!A52="","",'編年史'!L52)</x:f>
      </x:c>
      <x:c r="H52" s="47" t="str">
        <x:f>IF('編年史'!A52="","",'編年史'!N52)</x:f>
      </x:c>
    </x:row>
    <x:row r="53" ht="42" customHeight="1">
      <x:c r="A53" s="45" t="str">
        <x:f>IF('編年史'!A53="","",'編年史'!B53)</x:f>
      </x:c>
      <x:c r="B53" s="46" t="str">
        <x:f>IF('編年史'!A53="","",'編年史'!G53)</x:f>
      </x:c>
      <x:c r="C53" s="47" t="str">
        <x:f>IF('編年史'!A53="","",'編年史'!H53)</x:f>
      </x:c>
      <x:c r="D53" s="47" t="str">
        <x:f>IF('編年史'!A53="","",'編年史'!I53)</x:f>
      </x:c>
      <x:c r="E53" s="47" t="str">
        <x:f>IF('編年史'!A53="","",'編年史'!J53)</x:f>
      </x:c>
      <x:c r="F53" s="47" t="str">
        <x:f>IF('編年史'!A53="","",'編年史'!K53)</x:f>
      </x:c>
      <x:c r="G53" s="47" t="str">
        <x:f>IF('編年史'!A53="","",'編年史'!L53)</x:f>
      </x:c>
      <x:c r="H53" s="47" t="str">
        <x:f>IF('編年史'!A53="","",'編年史'!N53)</x:f>
      </x:c>
    </x:row>
    <x:row r="54" ht="42" customHeight="1">
      <x:c r="A54" s="48" t="str">
        <x:f>IF('編年史'!A54="","",'編年史'!B54)</x:f>
      </x:c>
      <x:c r="B54" s="49" t="str">
        <x:f>IF('編年史'!A54="","",'編年史'!G54)</x:f>
      </x:c>
      <x:c r="C54" s="50" t="str">
        <x:f>IF('編年史'!A54="","",'編年史'!H54)</x:f>
      </x:c>
      <x:c r="D54" s="50" t="str">
        <x:f>IF('編年史'!A54="","",'編年史'!I54)</x:f>
      </x:c>
      <x:c r="E54" s="50" t="str">
        <x:f>IF('編年史'!A54="","",'編年史'!J54)</x:f>
      </x:c>
      <x:c r="F54" s="50" t="str">
        <x:f>IF('編年史'!A54="","",'編年史'!K54)</x:f>
      </x:c>
      <x:c r="G54" s="50" t="str">
        <x:f>IF('編年史'!A54="","",'編年史'!L54)</x:f>
      </x:c>
      <x:c r="H54" s="50" t="str">
        <x:f>IF('編年史'!A54="","",'編年史'!N54)</x:f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</x:cols>
  <x:sheetData>
    <x:row r="1">
      <x:c r="A1" s="3" t="str">
        <x:v>季節</x:v>
      </x:c>
      <x:c r="B1" s="3" t="str">
        <x:v>週別</x:v>
      </x:c>
      <x:c r="C1" s="3" t="str">
        <x:v>事件類型</x:v>
      </x:c>
      <x:c r="D1" s="3" t="str">
        <x:v>狀態</x:v>
      </x:c>
      <x:c r="E1" s="3" t="str">
        <x:v>星期</x:v>
      </x:c>
      <x:c r="F1" s="3" t="str">
        <x:v>季節序</x:v>
      </x:c>
      <x:c r="G1" s="53" t="str">
        <x:v>S.T. 年</x:v>
      </x:c>
      <x:c r="H1" s="53" t="str">
        <x:v>日期</x:v>
      </x:c>
    </x:row>
    <x:row r="2">
      <x:c r="A2" s="4" t="str">
        <x:v>海洋季</x:v>
      </x:c>
      <x:c r="B2" s="4" t="str">
        <x:v>混亂週</x:v>
      </x:c>
      <x:c r="C2" s="4" t="str">
        <x:v>冒險</x:v>
      </x:c>
      <x:c r="D2" s="4" t="str">
        <x:v>計畫中</x:v>
      </x:c>
      <x:c r="E2" s="4" t="str">
        <x:v>寒霜日</x:v>
      </x:c>
      <x:c r="F2" s="4" t="n">
        <x:v>0</x:v>
      </x:c>
      <x:c r="G2" s="54" t="n">
        <x:v>1600</x:v>
      </x:c>
      <x:c r="H2" s="54" t="n">
        <x:v>1</x:v>
      </x:c>
    </x:row>
    <x:row r="3">
      <x:c r="A3" s="4" t="str">
        <x:v>火焰季</x:v>
      </x:c>
      <x:c r="B3" s="4" t="str">
        <x:v>和諧週</x:v>
      </x:c>
      <x:c r="C3" s="4" t="str">
        <x:v>戰鬥</x:v>
      </x:c>
      <x:c r="D3" s="4" t="str">
        <x:v>進行中</x:v>
      </x:c>
      <x:c r="E3" s="4" t="str">
        <x:v>流水日</x:v>
      </x:c>
      <x:c r="F3" s="4" t="n">
        <x:v>56</x:v>
      </x:c>
      <x:c r="G3" s="54" t="n">
        <x:v>1601</x:v>
      </x:c>
      <x:c r="H3" s="54" t="n">
        <x:v>2</x:v>
      </x:c>
    </x:row>
    <x:row r="4">
      <x:c r="A4" s="4" t="str">
        <x:v>大地季</x:v>
      </x:c>
      <x:c r="B4" s="4" t="str">
        <x:v>死亡週</x:v>
      </x:c>
      <x:c r="C4" s="4" t="str">
        <x:v>社交</x:v>
      </x:c>
      <x:c r="D4" s="4" t="str">
        <x:v>已完成</x:v>
      </x:c>
      <x:c r="E4" s="4" t="str">
        <x:v>泥土日</x:v>
      </x:c>
      <x:c r="F4" s="4" t="n">
        <x:v>112</x:v>
      </x:c>
      <x:c r="G4" s="54" t="n">
        <x:v>1602</x:v>
      </x:c>
      <x:c r="H4" s="54" t="n">
        <x:v>3</x:v>
      </x:c>
    </x:row>
    <x:row r="5">
      <x:c r="A5" s="4" t="str">
        <x:v>黑暗季</x:v>
      </x:c>
      <x:c r="B5" s="4" t="str">
        <x:v>豐饒週</x:v>
      </x:c>
      <x:c r="C5" s="4" t="str">
        <x:v>旅行</x:v>
      </x:c>
      <x:c r="D5" s="4" t="str">
        <x:v>未解決</x:v>
      </x:c>
      <x:c r="E5" s="4" t="str">
        <x:v>風暴日</x:v>
      </x:c>
      <x:c r="F5" s="4" t="n">
        <x:v>168</x:v>
      </x:c>
      <x:c r="G5" s="54" t="n">
        <x:v>1603</x:v>
      </x:c>
      <x:c r="H5" s="54" t="n">
        <x:v>4</x:v>
      </x:c>
    </x:row>
    <x:row r="6">
      <x:c r="A6" s="4" t="str">
        <x:v>風暴季</x:v>
      </x:c>
      <x:c r="B6" s="4" t="str">
        <x:v>停滯週</x:v>
      </x:c>
      <x:c r="C6" s="4" t="str">
        <x:v>儀式</x:v>
      </x:c>
      <x:c r="D6" s="4"/>
      <x:c r="E6" s="4" t="str">
        <x:v>火焰日</x:v>
      </x:c>
      <x:c r="F6" s="4" t="n">
        <x:v>224</x:v>
      </x:c>
      <x:c r="G6" s="54" t="n">
        <x:v>1604</x:v>
      </x:c>
      <x:c r="H6" s="54" t="n">
        <x:v>5</x:v>
      </x:c>
    </x:row>
    <x:row r="7">
      <x:c r="A7" s="4" t="str">
        <x:v>聖季期</x:v>
      </x:c>
      <x:c r="B7" s="4" t="str">
        <x:v>運動週</x:v>
      </x:c>
      <x:c r="C7" s="4" t="str">
        <x:v>政治</x:v>
      </x:c>
      <x:c r="D7" s="4"/>
      <x:c r="E7" s="4" t="str">
        <x:v>狂野日</x:v>
      </x:c>
      <x:c r="F7" s="4" t="n">
        <x:v>280</x:v>
      </x:c>
      <x:c r="G7" s="54" t="n">
        <x:v>1605</x:v>
      </x:c>
      <x:c r="H7" s="54" t="n">
        <x:v>6</x:v>
      </x:c>
    </x:row>
    <x:row r="8">
      <x:c r="A8" s="4"/>
      <x:c r="B8" s="4" t="str">
        <x:v>幻象週</x:v>
      </x:c>
      <x:c r="C8" s="4" t="str">
        <x:v>個人</x:v>
      </x:c>
      <x:c r="D8" s="4"/>
      <x:c r="E8" s="4" t="str">
        <x:v>眾神日</x:v>
      </x:c>
      <x:c r="F8" s="4"/>
      <x:c r="G8" s="54" t="n">
        <x:v>1606</x:v>
      </x:c>
      <x:c r="H8" s="54" t="n">
        <x:v>7</x:v>
      </x:c>
    </x:row>
    <x:row r="9">
      <x:c r="A9" s="4"/>
      <x:c r="B9" s="4" t="str">
        <x:v>真理週</x:v>
      </x:c>
      <x:c r="C9" s="4" t="str">
        <x:v>世界事件</x:v>
      </x:c>
      <x:c r="D9" s="4"/>
      <x:c r="E9" s="4"/>
      <x:c r="F9" s="4"/>
      <x:c r="G9" s="54" t="n">
        <x:v>1607</x:v>
      </x:c>
      <x:c r="H9" s="54" t="n">
        <x:v>8</x:v>
      </x:c>
    </x:row>
    <x:row r="10">
      <x:c r="A10" s="4"/>
      <x:c r="B10" s="4" t="str">
        <x:v>幸運週</x:v>
      </x:c>
      <x:c r="C10" s="4"/>
      <x:c r="D10" s="4"/>
      <x:c r="E10" s="4"/>
      <x:c r="F10" s="4"/>
      <x:c r="G10" s="54" t="n">
        <x:v>1608</x:v>
      </x:c>
      <x:c r="H10" s="54" t="n">
        <x:v>9</x:v>
      </x:c>
    </x:row>
    <x:row r="11">
      <x:c r="A11" s="4"/>
      <x:c r="B11" s="4" t="str">
        <x:v>命運週</x:v>
      </x:c>
      <x:c r="C11" s="4"/>
      <x:c r="D11" s="4"/>
      <x:c r="E11" s="4"/>
      <x:c r="F11" s="4"/>
      <x:c r="G11" s="54" t="n">
        <x:v>1609</x:v>
      </x:c>
      <x:c r="H11" s="54" t="n">
        <x:v>10</x:v>
      </x:c>
    </x:row>
    <x:row r="12">
      <x:c r="G12" s="54" t="n">
        <x:v>1610</x:v>
      </x:c>
      <x:c r="H12" s="54" t="n">
        <x:v>11</x:v>
      </x:c>
    </x:row>
    <x:row r="13">
      <x:c r="G13" s="54" t="n">
        <x:v>1611</x:v>
      </x:c>
      <x:c r="H13" s="54" t="n">
        <x:v>12</x:v>
      </x:c>
    </x:row>
    <x:row r="14">
      <x:c r="G14" s="54" t="n">
        <x:v>1612</x:v>
      </x:c>
      <x:c r="H14" s="54" t="n">
        <x:v>13</x:v>
      </x:c>
    </x:row>
    <x:row r="15">
      <x:c r="G15" s="54" t="n">
        <x:v>1613</x:v>
      </x:c>
      <x:c r="H15" s="54" t="n">
        <x:v>14</x:v>
      </x:c>
    </x:row>
    <x:row r="16">
      <x:c r="G16" s="54" t="n">
        <x:v>1614</x:v>
      </x:c>
      <x:c r="H16" s="54" t="n">
        <x:v>15</x:v>
      </x:c>
    </x:row>
    <x:row r="17">
      <x:c r="G17" s="54" t="n">
        <x:v>1615</x:v>
      </x:c>
      <x:c r="H17" s="54" t="n">
        <x:v>16</x:v>
      </x:c>
    </x:row>
    <x:row r="18">
      <x:c r="G18" s="54" t="n">
        <x:v>1616</x:v>
      </x:c>
      <x:c r="H18" s="54" t="n">
        <x:v>17</x:v>
      </x:c>
    </x:row>
    <x:row r="19">
      <x:c r="G19" s="54" t="n">
        <x:v>1617</x:v>
      </x:c>
      <x:c r="H19" s="54" t="n">
        <x:v>18</x:v>
      </x:c>
    </x:row>
    <x:row r="20">
      <x:c r="G20" s="54" t="n">
        <x:v>1618</x:v>
      </x:c>
      <x:c r="H20" s="54" t="n">
        <x:v>19</x:v>
      </x:c>
    </x:row>
    <x:row r="21">
      <x:c r="G21" s="54" t="n">
        <x:v>1619</x:v>
      </x:c>
      <x:c r="H21" s="54" t="n">
        <x:v>20</x:v>
      </x:c>
    </x:row>
    <x:row r="22">
      <x:c r="G22" s="54" t="n">
        <x:v>1620</x:v>
      </x:c>
      <x:c r="H22" s="54" t="n">
        <x:v>21</x:v>
      </x:c>
    </x:row>
    <x:row r="23">
      <x:c r="G23" s="54" t="n">
        <x:v>1621</x:v>
      </x:c>
      <x:c r="H23" s="54" t="n">
        <x:v>22</x:v>
      </x:c>
    </x:row>
    <x:row r="24">
      <x:c r="G24" s="54" t="n">
        <x:v>1622</x:v>
      </x:c>
      <x:c r="H24" s="54" t="n">
        <x:v>23</x:v>
      </x:c>
    </x:row>
    <x:row r="25">
      <x:c r="G25" s="54" t="n">
        <x:v>1623</x:v>
      </x:c>
      <x:c r="H25" s="54" t="n">
        <x:v>24</x:v>
      </x:c>
    </x:row>
    <x:row r="26">
      <x:c r="G26" s="54" t="n">
        <x:v>1624</x:v>
      </x:c>
      <x:c r="H26" s="54" t="n">
        <x:v>25</x:v>
      </x:c>
    </x:row>
    <x:row r="27">
      <x:c r="G27" s="54" t="n">
        <x:v>1625</x:v>
      </x:c>
      <x:c r="H27" s="54" t="n">
        <x:v>26</x:v>
      </x:c>
    </x:row>
    <x:row r="28">
      <x:c r="G28" s="54" t="n">
        <x:v>1626</x:v>
      </x:c>
      <x:c r="H28" s="54" t="n">
        <x:v>27</x:v>
      </x:c>
    </x:row>
    <x:row r="29">
      <x:c r="G29" s="54" t="n">
        <x:v>1627</x:v>
      </x:c>
      <x:c r="H29" s="54" t="n">
        <x:v>28</x:v>
      </x:c>
    </x:row>
    <x:row r="30">
      <x:c r="G30" s="54" t="n">
        <x:v>1628</x:v>
      </x:c>
      <x:c r="H30" s="54" t="n">
        <x:v>29</x:v>
      </x:c>
    </x:row>
    <x:row r="31">
      <x:c r="G31" s="54" t="n">
        <x:v>1629</x:v>
      </x:c>
      <x:c r="H31" s="54" t="n">
        <x:v>30</x:v>
      </x:c>
    </x:row>
    <x:row r="32">
      <x:c r="G32" s="54" t="n">
        <x:v>1630</x:v>
      </x:c>
      <x:c r="H32" s="54" t="n">
        <x:v>31</x:v>
      </x:c>
    </x:row>
    <x:row r="33">
      <x:c r="G33" s="54" t="n">
        <x:v>1631</x:v>
      </x:c>
      <x:c r="H33" s="54" t="n">
        <x:v>32</x:v>
      </x:c>
    </x:row>
    <x:row r="34">
      <x:c r="G34" s="54" t="n">
        <x:v>1632</x:v>
      </x:c>
      <x:c r="H34" s="54" t="n">
        <x:v>33</x:v>
      </x:c>
    </x:row>
    <x:row r="35">
      <x:c r="G35" s="54" t="n">
        <x:v>1633</x:v>
      </x:c>
      <x:c r="H35" s="54" t="n">
        <x:v>34</x:v>
      </x:c>
    </x:row>
    <x:row r="36">
      <x:c r="G36" s="54" t="n">
        <x:v>1634</x:v>
      </x:c>
      <x:c r="H36" s="54" t="n">
        <x:v>35</x:v>
      </x:c>
    </x:row>
    <x:row r="37">
      <x:c r="G37" s="54" t="n">
        <x:v>1635</x:v>
      </x:c>
      <x:c r="H37" s="54" t="n">
        <x:v>36</x:v>
      </x:c>
    </x:row>
    <x:row r="38">
      <x:c r="G38" s="54" t="n">
        <x:v>1636</x:v>
      </x:c>
      <x:c r="H38" s="54" t="n">
        <x:v>37</x:v>
      </x:c>
    </x:row>
    <x:row r="39">
      <x:c r="G39" s="54" t="n">
        <x:v>1637</x:v>
      </x:c>
      <x:c r="H39" s="54" t="n">
        <x:v>38</x:v>
      </x:c>
    </x:row>
    <x:row r="40">
      <x:c r="G40" s="54" t="n">
        <x:v>1638</x:v>
      </x:c>
      <x:c r="H40" s="54" t="n">
        <x:v>39</x:v>
      </x:c>
    </x:row>
    <x:row r="41">
      <x:c r="G41" s="54" t="n">
        <x:v>1639</x:v>
      </x:c>
      <x:c r="H41" s="54" t="n">
        <x:v>40</x:v>
      </x:c>
    </x:row>
    <x:row r="42">
      <x:c r="G42" s="54" t="n">
        <x:v>1640</x:v>
      </x:c>
      <x:c r="H42" s="54" t="n">
        <x:v>41</x:v>
      </x:c>
    </x:row>
    <x:row r="43">
      <x:c r="G43" s="54" t="n">
        <x:v>1641</x:v>
      </x:c>
      <x:c r="H43" s="54" t="n">
        <x:v>42</x:v>
      </x:c>
    </x:row>
    <x:row r="44">
      <x:c r="G44" s="54" t="n">
        <x:v>1642</x:v>
      </x:c>
      <x:c r="H44" s="54" t="n">
        <x:v>43</x:v>
      </x:c>
    </x:row>
    <x:row r="45">
      <x:c r="G45" s="54" t="n">
        <x:v>1643</x:v>
      </x:c>
      <x:c r="H45" s="54" t="n">
        <x:v>44</x:v>
      </x:c>
    </x:row>
    <x:row r="46">
      <x:c r="G46" s="54" t="n">
        <x:v>1644</x:v>
      </x:c>
      <x:c r="H46" s="54" t="n">
        <x:v>45</x:v>
      </x:c>
    </x:row>
    <x:row r="47">
      <x:c r="G47" s="54" t="n">
        <x:v>1645</x:v>
      </x:c>
      <x:c r="H47" s="54" t="n">
        <x:v>46</x:v>
      </x:c>
    </x:row>
    <x:row r="48">
      <x:c r="G48" s="54" t="n">
        <x:v>1646</x:v>
      </x:c>
      <x:c r="H48" s="54" t="n">
        <x:v>47</x:v>
      </x:c>
    </x:row>
    <x:row r="49">
      <x:c r="G49" s="54" t="n">
        <x:v>1647</x:v>
      </x:c>
      <x:c r="H49" s="54" t="n">
        <x:v>48</x:v>
      </x:c>
    </x:row>
    <x:row r="50">
      <x:c r="G50" s="54" t="n">
        <x:v>1648</x:v>
      </x:c>
      <x:c r="H50" s="54" t="n">
        <x:v>49</x:v>
      </x:c>
    </x:row>
    <x:row r="51">
      <x:c r="G51" s="54" t="n">
        <x:v>1649</x:v>
      </x:c>
      <x:c r="H51" s="54" t="n">
        <x:v>50</x:v>
      </x:c>
    </x:row>
    <x:row r="52">
      <x:c r="G52" s="54" t="n">
        <x:v>1650</x:v>
      </x:c>
      <x:c r="H52" s="54" t="n">
        <x:v>51</x:v>
      </x:c>
    </x:row>
    <x:row r="53">
      <x:c r="G53" s="54" t="n">
        <x:v>1651</x:v>
      </x:c>
      <x:c r="H53" s="54" t="n">
        <x:v>52</x:v>
      </x:c>
    </x:row>
    <x:row r="54">
      <x:c r="G54" s="54" t="n">
        <x:v>1652</x:v>
      </x:c>
      <x:c r="H54" s="54" t="n">
        <x:v>53</x:v>
      </x:c>
    </x:row>
    <x:row r="55">
      <x:c r="G55" s="54" t="n">
        <x:v>1653</x:v>
      </x:c>
      <x:c r="H55" s="54" t="n">
        <x:v>54</x:v>
      </x:c>
    </x:row>
    <x:row r="56">
      <x:c r="G56" s="54" t="n">
        <x:v>1654</x:v>
      </x:c>
      <x:c r="H56" s="54" t="n">
        <x:v>55</x:v>
      </x:c>
    </x:row>
    <x:row r="57">
      <x:c r="G57" s="54" t="n">
        <x:v>1655</x:v>
      </x:c>
      <x:c r="H57" s="54" t="n">
        <x:v>56</x:v>
      </x:c>
    </x:row>
    <x:row r="58">
      <x:c r="G58" s="54" t="n">
        <x:v>1656</x:v>
      </x:c>
      <x:c r="H58" s="54"/>
    </x:row>
    <x:row r="59">
      <x:c r="G59" s="54" t="n">
        <x:v>1657</x:v>
      </x:c>
      <x:c r="H59" s="54"/>
    </x:row>
    <x:row r="60">
      <x:c r="G60" s="54" t="n">
        <x:v>1658</x:v>
      </x:c>
      <x:c r="H60" s="54"/>
    </x:row>
    <x:row r="61">
      <x:c r="G61" s="54" t="n">
        <x:v>1659</x:v>
      </x:c>
      <x:c r="H61" s="54"/>
    </x:row>
    <x:row r="62">
      <x:c r="G62" s="54" t="n">
        <x:v>1660</x:v>
      </x:c>
      <x:c r="H62" s="54"/>
    </x:row>
    <x:row r="63">
      <x:c r="G63" s="54" t="n">
        <x:v>1661</x:v>
      </x:c>
      <x:c r="H63" s="54"/>
    </x:row>
    <x:row r="64">
      <x:c r="G64" s="54" t="n">
        <x:v>1662</x:v>
      </x:c>
      <x:c r="H64" s="54"/>
    </x:row>
    <x:row r="65">
      <x:c r="G65" s="54" t="n">
        <x:v>1663</x:v>
      </x:c>
      <x:c r="H65" s="54"/>
    </x:row>
    <x:row r="66">
      <x:c r="G66" s="54" t="n">
        <x:v>1664</x:v>
      </x:c>
      <x:c r="H66" s="54"/>
    </x:row>
    <x:row r="67">
      <x:c r="G67" s="54" t="n">
        <x:v>1665</x:v>
      </x:c>
      <x:c r="H67" s="54"/>
    </x:row>
    <x:row r="68">
      <x:c r="G68" s="54" t="n">
        <x:v>1666</x:v>
      </x:c>
      <x:c r="H68" s="54"/>
    </x:row>
    <x:row r="69">
      <x:c r="G69" s="54" t="n">
        <x:v>1667</x:v>
      </x:c>
      <x:c r="H69" s="54"/>
    </x:row>
    <x:row r="70">
      <x:c r="G70" s="54" t="n">
        <x:v>1668</x:v>
      </x:c>
      <x:c r="H70" s="54"/>
    </x:row>
    <x:row r="71">
      <x:c r="G71" s="54" t="n">
        <x:v>1669</x:v>
      </x:c>
      <x:c r="H71" s="54"/>
    </x:row>
    <x:row r="72">
      <x:c r="G72" s="54" t="n">
        <x:v>1670</x:v>
      </x:c>
      <x:c r="H72" s="54"/>
    </x:row>
    <x:row r="73">
      <x:c r="G73" s="54" t="n">
        <x:v>1671</x:v>
      </x:c>
      <x:c r="H73" s="54"/>
    </x:row>
    <x:row r="74">
      <x:c r="G74" s="54" t="n">
        <x:v>1672</x:v>
      </x:c>
      <x:c r="H74" s="54"/>
    </x:row>
    <x:row r="75">
      <x:c r="G75" s="54" t="n">
        <x:v>1673</x:v>
      </x:c>
      <x:c r="H75" s="54"/>
    </x:row>
    <x:row r="76">
      <x:c r="G76" s="54" t="n">
        <x:v>1674</x:v>
      </x:c>
      <x:c r="H76" s="54"/>
    </x:row>
    <x:row r="77">
      <x:c r="G77" s="54" t="n">
        <x:v>1675</x:v>
      </x:c>
      <x:c r="H77" s="54"/>
    </x:row>
    <x:row r="78">
      <x:c r="G78" s="54" t="n">
        <x:v>1676</x:v>
      </x:c>
      <x:c r="H78" s="54"/>
    </x:row>
    <x:row r="79">
      <x:c r="G79" s="54" t="n">
        <x:v>1677</x:v>
      </x:c>
      <x:c r="H79" s="54"/>
    </x:row>
    <x:row r="80">
      <x:c r="G80" s="54" t="n">
        <x:v>1678</x:v>
      </x:c>
      <x:c r="H80" s="54"/>
    </x:row>
    <x:row r="81">
      <x:c r="G81" s="54" t="n">
        <x:v>1679</x:v>
      </x:c>
      <x:c r="H81" s="54"/>
    </x:row>
    <x:row r="82">
      <x:c r="G82" s="54" t="n">
        <x:v>1680</x:v>
      </x:c>
      <x:c r="H82" s="54"/>
    </x:row>
    <x:row r="83">
      <x:c r="G83" s="54" t="n">
        <x:v>1681</x:v>
      </x:c>
      <x:c r="H83" s="54"/>
    </x:row>
    <x:row r="84">
      <x:c r="G84" s="54" t="n">
        <x:v>1682</x:v>
      </x:c>
      <x:c r="H84" s="54"/>
    </x:row>
    <x:row r="85">
      <x:c r="G85" s="54" t="n">
        <x:v>1683</x:v>
      </x:c>
      <x:c r="H85" s="54"/>
    </x:row>
    <x:row r="86">
      <x:c r="G86" s="54" t="n">
        <x:v>1684</x:v>
      </x:c>
      <x:c r="H86" s="54"/>
    </x:row>
    <x:row r="87">
      <x:c r="G87" s="54" t="n">
        <x:v>1685</x:v>
      </x:c>
      <x:c r="H87" s="54"/>
    </x:row>
    <x:row r="88">
      <x:c r="G88" s="54" t="n">
        <x:v>1686</x:v>
      </x:c>
      <x:c r="H88" s="54"/>
    </x:row>
    <x:row r="89">
      <x:c r="G89" s="54" t="n">
        <x:v>1687</x:v>
      </x:c>
      <x:c r="H89" s="54"/>
    </x:row>
    <x:row r="90">
      <x:c r="G90" s="54" t="n">
        <x:v>1688</x:v>
      </x:c>
      <x:c r="H90" s="54"/>
    </x:row>
    <x:row r="91">
      <x:c r="G91" s="54" t="n">
        <x:v>1689</x:v>
      </x:c>
      <x:c r="H91" s="54"/>
    </x:row>
    <x:row r="92">
      <x:c r="G92" s="54" t="n">
        <x:v>1690</x:v>
      </x:c>
      <x:c r="H92" s="54"/>
    </x:row>
    <x:row r="93">
      <x:c r="G93" s="54" t="n">
        <x:v>1691</x:v>
      </x:c>
      <x:c r="H93" s="54"/>
    </x:row>
    <x:row r="94">
      <x:c r="G94" s="54" t="n">
        <x:v>1692</x:v>
      </x:c>
      <x:c r="H94" s="54"/>
    </x:row>
    <x:row r="95">
      <x:c r="G95" s="54" t="n">
        <x:v>1693</x:v>
      </x:c>
      <x:c r="H95" s="54"/>
    </x:row>
    <x:row r="96">
      <x:c r="G96" s="54" t="n">
        <x:v>1694</x:v>
      </x:c>
      <x:c r="H96" s="54"/>
    </x:row>
    <x:row r="97">
      <x:c r="G97" s="54" t="n">
        <x:v>1695</x:v>
      </x:c>
      <x:c r="H97" s="54"/>
    </x:row>
    <x:row r="98">
      <x:c r="G98" s="54" t="n">
        <x:v>1696</x:v>
      </x:c>
      <x:c r="H98" s="54"/>
    </x:row>
    <x:row r="99">
      <x:c r="G99" s="54" t="n">
        <x:v>1697</x:v>
      </x:c>
      <x:c r="H99" s="54"/>
    </x:row>
    <x:row r="100">
      <x:c r="G100" s="54" t="n">
        <x:v>1698</x:v>
      </x:c>
      <x:c r="H100" s="54"/>
    </x:row>
    <x:row r="101">
      <x:c r="G101" s="54" t="n">
        <x:v>1699</x:v>
      </x:c>
      <x:c r="H101" s="54"/>
    </x:row>
    <x:row r="102">
      <x:c r="G102" s="54" t="n">
        <x:v>1700</x:v>
      </x:c>
      <x:c r="H102" s="54"/>
    </x:row>
  </x:sheetData>
  <x:pageMargins left="0.7" right="0.7" top="0.75" bottom="0.75" header="0.3" footer="0.3"/>
</x:worksheet>
</file>